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harenraj/Desktop/personal/WEBSITE/"/>
    </mc:Choice>
  </mc:AlternateContent>
  <xr:revisionPtr revIDLastSave="0" documentId="13_ncr:1_{2CBE4BB7-D0C9-7D4B-901E-EE0AED19A1CF}" xr6:coauthVersionLast="47" xr6:coauthVersionMax="47" xr10:uidLastSave="{00000000-0000-0000-0000-000000000000}"/>
  <bookViews>
    <workbookView xWindow="0" yWindow="740" windowWidth="29400" windowHeight="18380" xr2:uid="{D7075DB2-3829-D643-B240-45800EE5A7F9}"/>
  </bookViews>
  <sheets>
    <sheet name="GPA" sheetId="1" r:id="rId1"/>
    <sheet name="EXCHANGE" sheetId="2" r:id="rId2"/>
  </sheets>
  <definedNames>
    <definedName name="_xleta.IF" hidden="1" xlm="1">#NAME?</definedName>
    <definedName name="_xleta.IFS" hidden="1" xlm="1">#NAME?</definedName>
    <definedName name="_xleta.MAP" hidden="1" xlm="1">#NAME?</definedName>
    <definedName name="_xleta.PRODUC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" i="1" l="1"/>
  <c r="I6" i="1" a="1"/>
  <c r="I6" i="1"/>
  <c r="I7" i="1" a="1"/>
  <c r="I7" i="1" s="1"/>
  <c r="I8" i="1" a="1"/>
  <c r="I8" i="1"/>
  <c r="I9" i="1" a="1"/>
  <c r="I9" i="1" s="1"/>
  <c r="I11" i="1" a="1"/>
  <c r="I11" i="1" s="1"/>
  <c r="I12" i="1" a="1"/>
  <c r="I12" i="1"/>
  <c r="I13" i="1" a="1"/>
  <c r="I13" i="1"/>
  <c r="H13" i="1" s="1" a="1"/>
  <c r="H13" i="1" s="1"/>
  <c r="I14" i="1" a="1"/>
  <c r="I14" i="1"/>
  <c r="H14" i="1" s="1" a="1"/>
  <c r="H14" i="1" s="1"/>
  <c r="I15" i="1" a="1"/>
  <c r="I15" i="1" s="1"/>
  <c r="H15" i="1" s="1" a="1"/>
  <c r="H15" i="1" s="1"/>
  <c r="I16" i="1" a="1"/>
  <c r="I16" i="1" s="1"/>
  <c r="H16" i="1" s="1" a="1"/>
  <c r="H16" i="1" s="1"/>
  <c r="N16" i="1" s="1"/>
  <c r="I17" i="1" a="1"/>
  <c r="I17" i="1"/>
  <c r="I18" i="1" a="1"/>
  <c r="I18" i="1"/>
  <c r="H17" i="1" a="1"/>
  <c r="H17" i="1" s="1"/>
  <c r="H20" i="1" a="1"/>
  <c r="H20" i="1" s="1"/>
  <c r="M43" i="1"/>
  <c r="M48" i="1"/>
  <c r="M2" i="1"/>
  <c r="L3" i="1" a="1"/>
  <c r="L3" i="1" s="1"/>
  <c r="P3" i="1" s="1"/>
  <c r="L4" i="1" a="1"/>
  <c r="L4" i="1" s="1"/>
  <c r="I4" i="1" s="1" a="1"/>
  <c r="I4" i="1" s="1"/>
  <c r="H4" i="1" s="1" a="1"/>
  <c r="H4" i="1" s="1"/>
  <c r="L5" i="1" a="1"/>
  <c r="L5" i="1" s="1"/>
  <c r="I5" i="1" s="1" a="1"/>
  <c r="I5" i="1" s="1"/>
  <c r="L6" i="1" a="1"/>
  <c r="L6" i="1" s="1"/>
  <c r="L7" i="1" a="1"/>
  <c r="L7" i="1" s="1"/>
  <c r="L8" i="1" a="1"/>
  <c r="L8" i="1" s="1"/>
  <c r="L9" i="1" a="1"/>
  <c r="L9" i="1" s="1"/>
  <c r="P9" i="1" s="1"/>
  <c r="M9" i="1"/>
  <c r="L10" i="1" a="1"/>
  <c r="L10" i="1" s="1"/>
  <c r="I10" i="1" s="1" a="1"/>
  <c r="I10" i="1" s="1"/>
  <c r="L11" i="1" a="1"/>
  <c r="L11" i="1" s="1"/>
  <c r="L12" i="1" a="1"/>
  <c r="L12" i="1" s="1"/>
  <c r="L13" i="1" a="1"/>
  <c r="L13" i="1" s="1"/>
  <c r="L14" i="1" a="1"/>
  <c r="L14" i="1" s="1"/>
  <c r="L15" i="1" a="1"/>
  <c r="L15" i="1" s="1"/>
  <c r="M15" i="1"/>
  <c r="L16" i="1" a="1"/>
  <c r="L16" i="1" s="1"/>
  <c r="L17" i="1" a="1"/>
  <c r="L17" i="1" s="1"/>
  <c r="P17" i="1" s="1"/>
  <c r="M17" i="1"/>
  <c r="L18" i="1" a="1"/>
  <c r="L18" i="1" s="1"/>
  <c r="Q18" i="1" s="1"/>
  <c r="L19" i="1" a="1"/>
  <c r="L19" i="1" s="1"/>
  <c r="I19" i="1" s="1" a="1"/>
  <c r="I19" i="1" s="1"/>
  <c r="H19" i="1" s="1" a="1"/>
  <c r="H19" i="1" s="1"/>
  <c r="N19" i="1" s="1"/>
  <c r="L20" i="1" a="1"/>
  <c r="L20" i="1" s="1"/>
  <c r="I20" i="1" s="1" a="1"/>
  <c r="I20" i="1" s="1"/>
  <c r="L21" i="1" a="1"/>
  <c r="L21" i="1" s="1"/>
  <c r="I21" i="1" s="1" a="1"/>
  <c r="I21" i="1" s="1"/>
  <c r="H21" i="1" s="1" a="1"/>
  <c r="H21" i="1" s="1"/>
  <c r="L22" i="1" a="1"/>
  <c r="L22" i="1" s="1"/>
  <c r="I22" i="1" s="1" a="1"/>
  <c r="I22" i="1" s="1"/>
  <c r="H22" i="1" s="1" a="1"/>
  <c r="H22" i="1" s="1"/>
  <c r="L23" i="1" a="1"/>
  <c r="L23" i="1" s="1"/>
  <c r="I23" i="1" s="1" a="1"/>
  <c r="I23" i="1" s="1"/>
  <c r="H23" i="1" s="1" a="1"/>
  <c r="H23" i="1" s="1"/>
  <c r="L24" i="1" a="1"/>
  <c r="L24" i="1" s="1"/>
  <c r="P24" i="1" s="1"/>
  <c r="L25" i="1" a="1"/>
  <c r="L25" i="1" s="1"/>
  <c r="Q25" i="1" s="1"/>
  <c r="M25" i="1"/>
  <c r="L26" i="1" a="1"/>
  <c r="L26" i="1" s="1"/>
  <c r="P26" i="1" s="1"/>
  <c r="L27" i="1" a="1"/>
  <c r="L27" i="1" s="1"/>
  <c r="I27" i="1" s="1" a="1"/>
  <c r="I27" i="1" s="1"/>
  <c r="H27" i="1" s="1" a="1"/>
  <c r="H27" i="1" s="1"/>
  <c r="L28" i="1" a="1"/>
  <c r="L28" i="1" s="1"/>
  <c r="L29" i="1" a="1"/>
  <c r="L29" i="1"/>
  <c r="L30" i="1" a="1"/>
  <c r="L30" i="1" s="1"/>
  <c r="Q30" i="1" s="1"/>
  <c r="L31" i="1" a="1"/>
  <c r="L31" i="1" s="1"/>
  <c r="I31" i="1" s="1" a="1"/>
  <c r="I31" i="1" s="1"/>
  <c r="L32" i="1" a="1"/>
  <c r="L32" i="1" s="1"/>
  <c r="L33" i="1" a="1"/>
  <c r="L33" i="1" s="1"/>
  <c r="Q33" i="1" s="1"/>
  <c r="M33" i="1"/>
  <c r="L34" i="1" a="1"/>
  <c r="L34" i="1" s="1"/>
  <c r="P34" i="1" s="1"/>
  <c r="L35" i="1" a="1"/>
  <c r="L35" i="1" s="1"/>
  <c r="I35" i="1" s="1" a="1"/>
  <c r="I35" i="1" s="1"/>
  <c r="H35" i="1" s="1" a="1"/>
  <c r="H35" i="1" s="1"/>
  <c r="L36" i="1" a="1"/>
  <c r="L36" i="1" s="1"/>
  <c r="L52" i="1" a="1"/>
  <c r="L52" i="1" s="1"/>
  <c r="I52" i="1" s="1" a="1"/>
  <c r="I52" i="1" s="1"/>
  <c r="H52" i="1" s="1" a="1"/>
  <c r="H52" i="1" s="1"/>
  <c r="O52" i="1" s="1"/>
  <c r="L37" i="1" a="1"/>
  <c r="L37" i="1" s="1"/>
  <c r="I37" i="1" s="1" a="1"/>
  <c r="I37" i="1" s="1"/>
  <c r="L38" i="1" a="1"/>
  <c r="L38" i="1" s="1"/>
  <c r="M38" i="1"/>
  <c r="L39" i="1" a="1"/>
  <c r="L39" i="1"/>
  <c r="I39" i="1" s="1" a="1"/>
  <c r="I39" i="1" s="1"/>
  <c r="L40" i="1" a="1"/>
  <c r="L40" i="1" s="1"/>
  <c r="P40" i="1" s="1"/>
  <c r="M40" i="1"/>
  <c r="L41" i="1" a="1"/>
  <c r="L41" i="1" s="1"/>
  <c r="P41" i="1" s="1"/>
  <c r="L42" i="1" a="1"/>
  <c r="L42" i="1" s="1"/>
  <c r="L43" i="1" a="1"/>
  <c r="L43" i="1" s="1"/>
  <c r="L44" i="1" a="1"/>
  <c r="L44" i="1" s="1"/>
  <c r="L45" i="1" a="1"/>
  <c r="L45" i="1" s="1"/>
  <c r="L47" i="1" a="1"/>
  <c r="L47" i="1" s="1"/>
  <c r="L48" i="1" a="1"/>
  <c r="L48" i="1" s="1"/>
  <c r="P48" i="1" s="1"/>
  <c r="L49" i="1" a="1"/>
  <c r="L49" i="1" s="1"/>
  <c r="I49" i="1" s="1" a="1"/>
  <c r="I49" i="1" s="1"/>
  <c r="L50" i="1" a="1"/>
  <c r="L50" i="1" s="1"/>
  <c r="I50" i="1" s="1" a="1"/>
  <c r="I50" i="1" s="1"/>
  <c r="L46" i="1" a="1"/>
  <c r="L46" i="1" s="1"/>
  <c r="Q46" i="1" s="1"/>
  <c r="L51" i="1" a="1"/>
  <c r="L51" i="1" s="1"/>
  <c r="I51" i="1" s="1" a="1"/>
  <c r="I51" i="1" s="1"/>
  <c r="N38" i="1"/>
  <c r="N43" i="1"/>
  <c r="C55" i="1"/>
  <c r="C57" i="1"/>
  <c r="C56" i="1"/>
  <c r="C58" i="1"/>
  <c r="I3" i="1" l="1" a="1"/>
  <c r="I3" i="1" s="1"/>
  <c r="H3" i="1" s="1" a="1"/>
  <c r="H3" i="1" s="1"/>
  <c r="N3" i="1" s="1"/>
  <c r="H7" i="1" a="1"/>
  <c r="H7" i="1" s="1"/>
  <c r="H18" i="1" a="1"/>
  <c r="H18" i="1" s="1"/>
  <c r="O18" i="1" s="1"/>
  <c r="C60" i="1"/>
  <c r="I46" i="1" a="1"/>
  <c r="I46" i="1" s="1"/>
  <c r="H46" i="1" s="1" a="1"/>
  <c r="H46" i="1" s="1"/>
  <c r="N46" i="1" s="1"/>
  <c r="Q44" i="1"/>
  <c r="I44" i="1" a="1"/>
  <c r="I44" i="1" s="1"/>
  <c r="I42" i="1" a="1"/>
  <c r="I42" i="1" s="1"/>
  <c r="H42" i="1" s="1" a="1"/>
  <c r="H42" i="1" s="1"/>
  <c r="N42" i="1" s="1"/>
  <c r="P42" i="1"/>
  <c r="I47" i="1" a="1"/>
  <c r="I47" i="1" s="1"/>
  <c r="H47" i="1" s="1" a="1"/>
  <c r="H47" i="1" s="1"/>
  <c r="O47" i="1" s="1"/>
  <c r="P47" i="1"/>
  <c r="I36" i="1" a="1"/>
  <c r="I36" i="1" s="1"/>
  <c r="H36" i="1" s="1" a="1"/>
  <c r="H36" i="1" s="1"/>
  <c r="O36" i="1" s="1"/>
  <c r="Q36" i="1"/>
  <c r="Q50" i="1"/>
  <c r="Q51" i="1"/>
  <c r="I45" i="1" a="1"/>
  <c r="I45" i="1" s="1"/>
  <c r="H45" i="1" s="1" a="1"/>
  <c r="H45" i="1" s="1"/>
  <c r="O45" i="1" s="1"/>
  <c r="Q45" i="1"/>
  <c r="I41" i="1" a="1"/>
  <c r="I41" i="1" s="1"/>
  <c r="H41" i="1" s="1" a="1"/>
  <c r="H41" i="1" s="1"/>
  <c r="O41" i="1" s="1"/>
  <c r="P49" i="1"/>
  <c r="P37" i="1"/>
  <c r="P52" i="1"/>
  <c r="I29" i="1" a="1"/>
  <c r="I29" i="1" s="1"/>
  <c r="H29" i="1" s="1" a="1"/>
  <c r="H29" i="1" s="1"/>
  <c r="O29" i="1" s="1"/>
  <c r="Q29" i="1"/>
  <c r="O16" i="1"/>
  <c r="P16" i="1"/>
  <c r="P5" i="1"/>
  <c r="H5" i="1" a="1"/>
  <c r="H5" i="1" s="1"/>
  <c r="I30" i="1" a="1"/>
  <c r="I30" i="1" s="1"/>
  <c r="H30" i="1" s="1" a="1"/>
  <c r="H30" i="1" s="1"/>
  <c r="N30" i="1" s="1"/>
  <c r="P31" i="1"/>
  <c r="Q22" i="1"/>
  <c r="I26" i="1" a="1"/>
  <c r="I26" i="1" s="1"/>
  <c r="H26" i="1" s="1" a="1"/>
  <c r="H26" i="1" s="1"/>
  <c r="N26" i="1" s="1"/>
  <c r="Q8" i="1"/>
  <c r="H8" i="1" a="1"/>
  <c r="H8" i="1" s="1"/>
  <c r="N8" i="1" s="1"/>
  <c r="Q12" i="1"/>
  <c r="H12" i="1" a="1"/>
  <c r="H12" i="1" s="1"/>
  <c r="N12" i="1" s="1"/>
  <c r="Q6" i="1"/>
  <c r="H6" i="1" a="1"/>
  <c r="H6" i="1" s="1"/>
  <c r="Q28" i="1"/>
  <c r="I28" i="1" a="1"/>
  <c r="I28" i="1" s="1"/>
  <c r="H28" i="1" s="1" a="1"/>
  <c r="H28" i="1" s="1"/>
  <c r="N28" i="1" s="1"/>
  <c r="Q32" i="1"/>
  <c r="I32" i="1" a="1"/>
  <c r="I32" i="1" s="1"/>
  <c r="H32" i="1" s="1" a="1"/>
  <c r="H32" i="1" s="1"/>
  <c r="O32" i="1" s="1"/>
  <c r="Q4" i="1"/>
  <c r="O4" i="1"/>
  <c r="P27" i="1"/>
  <c r="Q7" i="1"/>
  <c r="Q21" i="1"/>
  <c r="Q20" i="1"/>
  <c r="Q19" i="1"/>
  <c r="Q14" i="1"/>
  <c r="O14" i="1"/>
  <c r="Q11" i="1"/>
  <c r="P10" i="1"/>
  <c r="Q13" i="1"/>
  <c r="N9" i="1"/>
  <c r="I34" i="1" a="1"/>
  <c r="I34" i="1" s="1"/>
  <c r="H34" i="1" s="1" a="1"/>
  <c r="H34" i="1" s="1"/>
  <c r="O34" i="1" s="1"/>
  <c r="I24" i="1" a="1"/>
  <c r="I24" i="1" s="1"/>
  <c r="H24" i="1" s="1" a="1"/>
  <c r="H24" i="1" s="1"/>
  <c r="N24" i="1" s="1"/>
  <c r="H39" i="1" a="1"/>
  <c r="H39" i="1" s="1"/>
  <c r="N39" i="1" s="1"/>
  <c r="N17" i="1"/>
  <c r="O7" i="1"/>
  <c r="O21" i="1"/>
  <c r="O22" i="1"/>
  <c r="O20" i="1"/>
  <c r="O13" i="1"/>
  <c r="H50" i="1" a="1"/>
  <c r="H50" i="1" s="1"/>
  <c r="N50" i="1" s="1"/>
  <c r="H51" i="1" a="1"/>
  <c r="H51" i="1" s="1"/>
  <c r="N51" i="1" s="1"/>
  <c r="H49" i="1" a="1"/>
  <c r="H49" i="1" s="1"/>
  <c r="O49" i="1" s="1"/>
  <c r="H31" i="1" a="1"/>
  <c r="H31" i="1" s="1"/>
  <c r="O31" i="1" s="1"/>
  <c r="H44" i="1" a="1"/>
  <c r="H44" i="1" s="1"/>
  <c r="O44" i="1" s="1"/>
  <c r="H37" i="1" a="1"/>
  <c r="H37" i="1" s="1"/>
  <c r="O37" i="1" s="1"/>
  <c r="O15" i="1"/>
  <c r="N15" i="1"/>
  <c r="O48" i="1"/>
  <c r="N48" i="1"/>
  <c r="O25" i="1"/>
  <c r="N25" i="1"/>
  <c r="N33" i="1"/>
  <c r="O33" i="1"/>
  <c r="N40" i="1"/>
  <c r="O40" i="1"/>
  <c r="O43" i="1"/>
  <c r="O38" i="1"/>
  <c r="N27" i="1"/>
  <c r="O27" i="1"/>
  <c r="P32" i="1"/>
  <c r="Q49" i="1"/>
  <c r="P50" i="1"/>
  <c r="P51" i="1"/>
  <c r="P46" i="1"/>
  <c r="P45" i="1"/>
  <c r="P44" i="1"/>
  <c r="Q47" i="1"/>
  <c r="Q42" i="1"/>
  <c r="Q39" i="1"/>
  <c r="P39" i="1"/>
  <c r="Q37" i="1"/>
  <c r="O35" i="1"/>
  <c r="N35" i="1"/>
  <c r="Q52" i="1"/>
  <c r="N52" i="1"/>
  <c r="P35" i="1"/>
  <c r="Q35" i="1"/>
  <c r="Q34" i="1"/>
  <c r="Q27" i="1"/>
  <c r="Q26" i="1"/>
  <c r="P30" i="1"/>
  <c r="P29" i="1"/>
  <c r="Q31" i="1"/>
  <c r="P28" i="1"/>
  <c r="O23" i="1"/>
  <c r="N23" i="1"/>
  <c r="Q24" i="1"/>
  <c r="N22" i="1"/>
  <c r="P22" i="1"/>
  <c r="P21" i="1"/>
  <c r="P20" i="1"/>
  <c r="P19" i="1"/>
  <c r="P18" i="1"/>
  <c r="Q10" i="1"/>
  <c r="P14" i="1"/>
  <c r="P13" i="1"/>
  <c r="P12" i="1"/>
  <c r="P11" i="1"/>
  <c r="P8" i="1"/>
  <c r="P7" i="1"/>
  <c r="P6" i="1"/>
  <c r="P4" i="1"/>
  <c r="Q3" i="1"/>
  <c r="Q5" i="1"/>
  <c r="P36" i="1"/>
  <c r="P23" i="1"/>
  <c r="Q23" i="1"/>
  <c r="Q16" i="1"/>
  <c r="Q41" i="1"/>
  <c r="Q48" i="1"/>
  <c r="Q43" i="1"/>
  <c r="P43" i="1"/>
  <c r="Q40" i="1"/>
  <c r="P38" i="1"/>
  <c r="Q38" i="1"/>
  <c r="P33" i="1"/>
  <c r="P25" i="1"/>
  <c r="Q17" i="1"/>
  <c r="P15" i="1"/>
  <c r="Q15" i="1"/>
  <c r="Q9" i="1"/>
  <c r="H11" i="1" l="1" a="1"/>
  <c r="H11" i="1" s="1"/>
  <c r="N11" i="1" s="1"/>
  <c r="H10" i="1" a="1"/>
  <c r="H10" i="1" s="1"/>
  <c r="N10" i="1" s="1"/>
  <c r="O42" i="1"/>
  <c r="O26" i="1"/>
  <c r="N41" i="1"/>
  <c r="N36" i="1"/>
  <c r="O46" i="1"/>
  <c r="N29" i="1"/>
  <c r="N32" i="1"/>
  <c r="O39" i="1"/>
  <c r="O50" i="1"/>
  <c r="O9" i="1"/>
  <c r="N34" i="1"/>
  <c r="N31" i="1"/>
  <c r="N49" i="1"/>
  <c r="O28" i="1"/>
  <c r="N47" i="1"/>
  <c r="N45" i="1"/>
  <c r="O30" i="1"/>
  <c r="N37" i="1"/>
  <c r="O17" i="1"/>
  <c r="N7" i="1"/>
  <c r="N13" i="1"/>
  <c r="O8" i="1"/>
  <c r="N21" i="1"/>
  <c r="O24" i="1"/>
  <c r="O12" i="1"/>
  <c r="N4" i="1"/>
  <c r="O19" i="1"/>
  <c r="N5" i="1"/>
  <c r="N44" i="1"/>
  <c r="N20" i="1"/>
  <c r="O51" i="1"/>
  <c r="N6" i="1"/>
  <c r="N18" i="1"/>
  <c r="O3" i="1"/>
  <c r="Q59" i="1"/>
  <c r="P59" i="1"/>
  <c r="O11" i="1" l="1"/>
  <c r="O10" i="1"/>
  <c r="C62" i="1"/>
  <c r="O6" i="1"/>
  <c r="N59" i="1"/>
  <c r="O5" i="1"/>
  <c r="O59" i="1" l="1"/>
  <c r="C6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<sst xmlns="http://schemas.openxmlformats.org/spreadsheetml/2006/main" count="120" uniqueCount="98">
  <si>
    <t>NTW2029</t>
  </si>
  <si>
    <t>MC</t>
  </si>
  <si>
    <t>GPA</t>
  </si>
  <si>
    <t>MA1521</t>
  </si>
  <si>
    <t>MA1522</t>
  </si>
  <si>
    <t>CS1010A</t>
  </si>
  <si>
    <t>BT1101</t>
  </si>
  <si>
    <t>BT2102</t>
  </si>
  <si>
    <t>CS2030</t>
  </si>
  <si>
    <t>NGN2001H</t>
  </si>
  <si>
    <t>NSS2001F</t>
  </si>
  <si>
    <t>IS1108</t>
  </si>
  <si>
    <t>EQUIVALENT</t>
  </si>
  <si>
    <t>CS2040</t>
  </si>
  <si>
    <t>IS3103</t>
  </si>
  <si>
    <t>BT3103</t>
  </si>
  <si>
    <t>BT2101</t>
  </si>
  <si>
    <t>ST2334</t>
  </si>
  <si>
    <t>BT4211</t>
  </si>
  <si>
    <t>NGT</t>
  </si>
  <si>
    <t>IT2900</t>
  </si>
  <si>
    <t>Y1S1</t>
  </si>
  <si>
    <t>NSW2001C</t>
  </si>
  <si>
    <t>Y1S2</t>
  </si>
  <si>
    <t>Y2S1</t>
  </si>
  <si>
    <t>Y2S2</t>
  </si>
  <si>
    <t>cits4009</t>
  </si>
  <si>
    <t>cits3001</t>
  </si>
  <si>
    <t>cits4404</t>
  </si>
  <si>
    <t>bt4014</t>
  </si>
  <si>
    <t>MKTG5504</t>
  </si>
  <si>
    <t>MKTG3308</t>
  </si>
  <si>
    <t>MKTG2305</t>
  </si>
  <si>
    <t>MKTG3307</t>
  </si>
  <si>
    <t>MKT1705X</t>
  </si>
  <si>
    <t>mktg1203</t>
  </si>
  <si>
    <t>Y3S2</t>
  </si>
  <si>
    <t>Y4S1</t>
  </si>
  <si>
    <t>Y4S2</t>
  </si>
  <si>
    <t xml:space="preserve">NUSC </t>
  </si>
  <si>
    <t>UE</t>
  </si>
  <si>
    <t>nusc core</t>
  </si>
  <si>
    <t>ue</t>
  </si>
  <si>
    <t xml:space="preserve">TOTAL </t>
  </si>
  <si>
    <t>IEX PART 1</t>
  </si>
  <si>
    <t>Y1 Summer</t>
  </si>
  <si>
    <t>NEX3004 Part 1</t>
  </si>
  <si>
    <t>NEX3004 Part 2</t>
  </si>
  <si>
    <t>Y3 Winter</t>
  </si>
  <si>
    <t>IP</t>
  </si>
  <si>
    <t>Module Title</t>
  </si>
  <si>
    <t>Econometrics Modeling for Business Analytics</t>
  </si>
  <si>
    <t>Data Management and Visualisation</t>
  </si>
  <si>
    <t>Introduction to Business Analytics</t>
  </si>
  <si>
    <t>Programming Methodology</t>
  </si>
  <si>
    <t>Linear Algebra for Computing</t>
  </si>
  <si>
    <t>Calculus for Computing</t>
  </si>
  <si>
    <t>Evolutionary Psychology and Art</t>
  </si>
  <si>
    <t>Understanding the Social World: Singapore &amp; Beyond</t>
  </si>
  <si>
    <t>Programming Methodology II</t>
  </si>
  <si>
    <t>Digital and AI Ethics</t>
  </si>
  <si>
    <t>Global Narratives</t>
  </si>
  <si>
    <t>Science and Society</t>
  </si>
  <si>
    <t>GEx Toronto</t>
  </si>
  <si>
    <t>Data Structures and Algorithms</t>
  </si>
  <si>
    <t>Probability and Statistics</t>
  </si>
  <si>
    <t>Impact Experience Project</t>
  </si>
  <si>
    <t>Global Social Thought</t>
  </si>
  <si>
    <t>Digital Transformation and Leadership Communication</t>
  </si>
  <si>
    <t>Application Systems Development for Business Analytics</t>
  </si>
  <si>
    <t>presu_equivalent</t>
  </si>
  <si>
    <t>GPA (pre-su)</t>
  </si>
  <si>
    <t>post-su calc1</t>
  </si>
  <si>
    <t>post-su calc2</t>
  </si>
  <si>
    <t>pre-su calc1</t>
  </si>
  <si>
    <t>pre-su calc2</t>
  </si>
  <si>
    <t>Y3S1/Exchange</t>
  </si>
  <si>
    <t>Grade</t>
  </si>
  <si>
    <t>Post-SU grade</t>
  </si>
  <si>
    <t>Module Code</t>
  </si>
  <si>
    <t>Sem MC Count</t>
  </si>
  <si>
    <t>S/U?</t>
  </si>
  <si>
    <t>Science and Tech Elective</t>
  </si>
  <si>
    <t>NST2XXX</t>
  </si>
  <si>
    <t>Major Elective</t>
  </si>
  <si>
    <t>Capstone Project</t>
  </si>
  <si>
    <t>NSTXXX</t>
  </si>
  <si>
    <t>NHSXXX</t>
  </si>
  <si>
    <t>Humanities Elective</t>
  </si>
  <si>
    <t>NEX3004 Part 3</t>
  </si>
  <si>
    <t>NEX3004 Part 4</t>
  </si>
  <si>
    <t>Internship</t>
  </si>
  <si>
    <t>NHS2XXX</t>
  </si>
  <si>
    <t>Unrestricted Elective</t>
  </si>
  <si>
    <t>Unrestricted Elective [Winter School]</t>
  </si>
  <si>
    <t>Major Core</t>
  </si>
  <si>
    <t>major core</t>
  </si>
  <si>
    <t>major elective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</si>
</sst>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rgb="FF000000"/>
      <name val="Verdana"/>
      <family val="2"/>
    </font>
    <font>
      <b/>
      <sz val="15"/>
      <color theme="1"/>
      <name val="Aptos Narrow"/>
      <scheme val="minor"/>
    </font>
    <font>
      <b/>
      <sz val="14"/>
      <color theme="1"/>
      <name val="Aptos Narrow"/>
      <scheme val="minor"/>
    </font>
    <font>
      <sz val="12"/>
      <color rgb="FFFF0000"/>
      <name val="Aptos Narrow (Body)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5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CCECE3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0" xfId="0" applyFill="1"/>
    <xf numFmtId="0" fontId="2" fillId="0" borderId="0" xfId="0" applyFont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center"/>
    </xf>
    <xf numFmtId="0" fontId="0" fillId="7" borderId="1" xfId="0" applyFill="1" applyBorder="1"/>
    <xf numFmtId="0" fontId="0" fillId="4" borderId="1" xfId="0" applyFill="1" applyBorder="1"/>
    <xf numFmtId="0" fontId="0" fillId="3" borderId="1" xfId="0" applyFill="1" applyBorder="1"/>
    <xf numFmtId="0" fontId="0" fillId="5" borderId="1" xfId="0" applyFill="1" applyBorder="1"/>
    <xf numFmtId="0" fontId="0" fillId="6" borderId="1" xfId="0" applyFill="1" applyBorder="1"/>
    <xf numFmtId="0" fontId="4" fillId="7" borderId="2" xfId="0" applyFont="1" applyFill="1" applyBorder="1"/>
    <xf numFmtId="0" fontId="0" fillId="4" borderId="2" xfId="0" applyFill="1" applyBorder="1"/>
    <xf numFmtId="0" fontId="0" fillId="4" borderId="3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2" xfId="0" applyFill="1" applyBorder="1"/>
    <xf numFmtId="0" fontId="0" fillId="3" borderId="3" xfId="0" applyFill="1" applyBorder="1"/>
    <xf numFmtId="0" fontId="0" fillId="3" borderId="3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3" xfId="0" applyFill="1" applyBorder="1"/>
    <xf numFmtId="0" fontId="0" fillId="6" borderId="2" xfId="0" applyFill="1" applyBorder="1"/>
    <xf numFmtId="0" fontId="0" fillId="6" borderId="3" xfId="0" applyFill="1" applyBorder="1"/>
    <xf numFmtId="0" fontId="0" fillId="4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0" fillId="3" borderId="4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5" xfId="0" applyFill="1" applyBorder="1"/>
    <xf numFmtId="0" fontId="0" fillId="0" borderId="1" xfId="0" applyBorder="1"/>
    <xf numFmtId="0" fontId="4" fillId="7" borderId="3" xfId="0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7" xfId="0" applyFill="1" applyBorder="1" applyAlignment="1">
      <alignment horizontal="center"/>
    </xf>
    <xf numFmtId="0" fontId="0" fillId="3" borderId="4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7" xfId="0" applyFill="1" applyBorder="1" applyAlignment="1">
      <alignment horizontal="center"/>
    </xf>
    <xf numFmtId="0" fontId="0" fillId="5" borderId="4" xfId="0" applyFill="1" applyBorder="1"/>
    <xf numFmtId="0" fontId="0" fillId="5" borderId="4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8" borderId="6" xfId="0" applyFont="1" applyFill="1" applyBorder="1"/>
    <xf numFmtId="0" fontId="3" fillId="8" borderId="7" xfId="0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0" fontId="0" fillId="6" borderId="8" xfId="0" applyFill="1" applyBorder="1"/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4" borderId="8" xfId="0" applyFill="1" applyBorder="1"/>
    <xf numFmtId="0" fontId="0" fillId="4" borderId="9" xfId="0" applyFill="1" applyBorder="1"/>
    <xf numFmtId="0" fontId="0" fillId="4" borderId="9" xfId="0" applyFill="1" applyBorder="1" applyAlignment="1">
      <alignment horizontal="center"/>
    </xf>
    <xf numFmtId="0" fontId="0" fillId="4" borderId="5" xfId="0" applyFill="1" applyBorder="1"/>
    <xf numFmtId="0" fontId="0" fillId="5" borderId="10" xfId="0" applyFill="1" applyBorder="1"/>
    <xf numFmtId="0" fontId="0" fillId="5" borderId="0" xfId="0" applyFill="1" applyAlignment="1">
      <alignment horizontal="center"/>
    </xf>
    <xf numFmtId="0" fontId="0" fillId="5" borderId="11" xfId="0" applyFill="1" applyBorder="1"/>
    <xf numFmtId="0" fontId="0" fillId="3" borderId="10" xfId="0" applyFill="1" applyBorder="1"/>
    <xf numFmtId="0" fontId="0" fillId="3" borderId="0" xfId="0" applyFill="1" applyAlignment="1">
      <alignment horizontal="center"/>
    </xf>
    <xf numFmtId="0" fontId="0" fillId="3" borderId="11" xfId="0" applyFill="1" applyBorder="1"/>
    <xf numFmtId="0" fontId="0" fillId="4" borderId="5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3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5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CCCC"/>
      <color rgb="FFCCECE3"/>
      <color rgb="FFD9D2E9"/>
      <color rgb="FFFFE699"/>
      <color rgb="FFC5E0B4"/>
      <color rgb="FFBDD7EE"/>
      <color rgb="FFCCE3F0"/>
      <color rgb="FF0072B2"/>
      <color rgb="FF0078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A52B4-A2C6-3040-91FC-E6A1ABD6EC5C}">
  <sheetPr codeName="Sheet1"/>
  <dimension ref="A1:Q62"/>
  <sheetViews>
    <sheetView tabSelected="1" topLeftCell="A25" zoomScale="116" zoomScaleNormal="150" workbookViewId="0">
      <selection activeCell="B34" sqref="B34"/>
    </sheetView>
  </sheetViews>
  <sheetFormatPr baseColWidth="10" defaultRowHeight="16" x14ac:dyDescent="0.2"/>
  <cols>
    <col min="1" max="1" width="15.83203125" bestFit="1" customWidth="1"/>
    <col min="2" max="2" width="47.33203125" bestFit="1" customWidth="1"/>
    <col min="3" max="3" width="10.83203125" customWidth="1"/>
    <col min="4" max="8" width="10.83203125" hidden="1" customWidth="1"/>
    <col min="9" max="9" width="12.33203125" hidden="1" customWidth="1"/>
    <col min="10" max="10" width="10.83203125" customWidth="1"/>
    <col min="12" max="12" width="10.83203125" hidden="1" customWidth="1"/>
    <col min="13" max="13" width="17" bestFit="1" customWidth="1"/>
    <col min="14" max="17" width="10.83203125" hidden="1" customWidth="1"/>
  </cols>
  <sheetData>
    <row r="1" spans="1:17" ht="20" x14ac:dyDescent="0.25">
      <c r="A1" s="41" t="s">
        <v>79</v>
      </c>
      <c r="B1" s="42" t="s">
        <v>50</v>
      </c>
      <c r="C1" s="42" t="s">
        <v>1</v>
      </c>
      <c r="D1" s="42" t="s">
        <v>41</v>
      </c>
      <c r="E1" s="42" t="s">
        <v>96</v>
      </c>
      <c r="F1" s="42" t="s">
        <v>42</v>
      </c>
      <c r="G1" s="42" t="s">
        <v>97</v>
      </c>
      <c r="H1" s="42" t="s">
        <v>12</v>
      </c>
      <c r="I1" s="42" t="s">
        <v>78</v>
      </c>
      <c r="J1" s="42" t="s">
        <v>77</v>
      </c>
      <c r="K1" s="43" t="s">
        <v>81</v>
      </c>
      <c r="L1" s="8" t="s">
        <v>70</v>
      </c>
      <c r="M1" s="27" t="s">
        <v>80</v>
      </c>
      <c r="N1" s="8" t="s">
        <v>72</v>
      </c>
      <c r="O1" s="8" t="s">
        <v>73</v>
      </c>
      <c r="P1" s="8" t="s">
        <v>74</v>
      </c>
      <c r="Q1" s="8" t="s">
        <v>75</v>
      </c>
    </row>
    <row r="2" spans="1:17" ht="19" x14ac:dyDescent="0.25">
      <c r="A2" s="14" t="s">
        <v>21</v>
      </c>
      <c r="B2" s="9"/>
      <c r="C2" s="9"/>
      <c r="D2" s="9">
        <v>0</v>
      </c>
      <c r="E2" s="9">
        <v>0</v>
      </c>
      <c r="F2" s="9">
        <v>0</v>
      </c>
      <c r="G2" s="9">
        <v>0</v>
      </c>
      <c r="H2" s="9"/>
      <c r="I2" s="9"/>
      <c r="J2" s="9"/>
      <c r="K2" s="9"/>
      <c r="L2" s="30"/>
      <c r="M2" s="31">
        <f>SUM(C3:C8)</f>
        <v>24</v>
      </c>
    </row>
    <row r="3" spans="1:17" x14ac:dyDescent="0.2">
      <c r="A3" s="47" t="s">
        <v>3</v>
      </c>
      <c r="B3" s="48" t="s">
        <v>56</v>
      </c>
      <c r="C3" s="49">
        <v>4</v>
      </c>
      <c r="D3" s="49">
        <v>0</v>
      </c>
      <c r="E3" s="49">
        <v>4</v>
      </c>
      <c r="F3" s="49">
        <v>0</v>
      </c>
      <c r="G3" s="49">
        <v>0</v>
      </c>
      <c r="H3" s="49" t="str" cm="1">
        <f t="array" ref="H3">_xlfn.IFS(I3="A",5,I3="A-",4.5,I3="B+",4,I3="B",3.5,I3="A+",5,I3="","",I3="B-",3,I3="CS","",I3="S","",I3="U","",I3="CU","", I3="C+",2.5, I3= "C", 2, I3="D+", 1.5, I3="D", 1, I3="F",0, I3="IP","")</f>
        <v/>
      </c>
      <c r="I3" s="49" t="str" cm="1">
        <f t="array" ref="I3">_xlfn.IFS(J3="", "", K3=FALSE,J3, AND(K3=TRUE,L3&gt;0),"S", AND(K3=TRUE,L3=0),"U")</f>
        <v/>
      </c>
      <c r="J3" s="49"/>
      <c r="K3" s="57" t="b">
        <v>1</v>
      </c>
      <c r="L3" t="str" cm="1">
        <f t="array" ref="L3">_xlfn.IFS(J3="A",5,J3="A-",4.5,J3="B+",4,J3="B",3.5,J3="A+",5,J3="","",J3="B-",3,J3="CS","",J3="S","",J3="U","",J3="CU","", J3="C+",2.5, J3= "C", 2, J3="D+", 1.5, J3="D", 1, J3="F",0, J3="IP","")</f>
        <v/>
      </c>
      <c r="N3" t="str">
        <f t="shared" ref="N3:N34" si="0">IF(H3 = "", "", H3*C3)</f>
        <v/>
      </c>
      <c r="O3" t="str">
        <f t="shared" ref="O3:O34" si="1">IF(H3="","",C3)</f>
        <v/>
      </c>
      <c r="P3" t="str">
        <f t="shared" ref="P3:P34" si="2">IF(L3="", "", C3*L3)</f>
        <v/>
      </c>
      <c r="Q3" t="str">
        <f t="shared" ref="Q3:Q34" si="3">IF(L3="","",C3)</f>
        <v/>
      </c>
    </row>
    <row r="4" spans="1:17" x14ac:dyDescent="0.2">
      <c r="A4" s="15" t="s">
        <v>4</v>
      </c>
      <c r="B4" s="10" t="s">
        <v>55</v>
      </c>
      <c r="C4" s="23">
        <v>4</v>
      </c>
      <c r="D4" s="23">
        <v>0</v>
      </c>
      <c r="E4" s="23">
        <v>4</v>
      </c>
      <c r="F4" s="23">
        <v>0</v>
      </c>
      <c r="G4" s="23">
        <v>0</v>
      </c>
      <c r="H4" s="23" t="str" cm="1">
        <f t="array" ref="H4">_xlfn.IFS(I4="A",5,I4="A-",4.5,I4="B+",4,I4="B",3.5,I4="A+",5,I4="","",I4="B-",3,I4="CS","",I4="S","",I4="U","",I4="CU","", I4="C+",2.5, I4= "C", 2, I4="D+", 1.5, I4="D", 1, I4="F",0, I4="IP","")</f>
        <v/>
      </c>
      <c r="I4" s="23" t="str" cm="1">
        <f t="array" ref="I4">_xlfn.IFS(J4="", "", K4=FALSE,J4, AND(K4=TRUE,L4&gt;0),"S", AND(K4=TRUE,L4=0),"U")</f>
        <v/>
      </c>
      <c r="J4" s="23"/>
      <c r="K4" s="16" t="b">
        <v>0</v>
      </c>
      <c r="L4" t="str" cm="1">
        <f t="array" ref="L4">_xlfn.IFS(J4="A",5,J4="A-",4.5,J4="B+",4,J4="B",3.5,J4="A+",5,J4="","",J4="B-",3,J4="CS","",J4="S","",J4="U","",J4="CU","", J4="C+",2.5, J4= "C", 2, J4="D+", 1.5, J4="D", 1, J4="F",0, J4="IP","")</f>
        <v/>
      </c>
      <c r="N4" t="str">
        <f t="shared" si="0"/>
        <v/>
      </c>
      <c r="O4" t="str">
        <f t="shared" si="1"/>
        <v/>
      </c>
      <c r="P4" t="str">
        <f t="shared" si="2"/>
        <v/>
      </c>
      <c r="Q4" t="str">
        <f t="shared" si="3"/>
        <v/>
      </c>
    </row>
    <row r="5" spans="1:17" x14ac:dyDescent="0.2">
      <c r="A5" s="15" t="s">
        <v>5</v>
      </c>
      <c r="B5" s="10" t="s">
        <v>54</v>
      </c>
      <c r="C5" s="23">
        <v>4</v>
      </c>
      <c r="D5" s="23">
        <v>0</v>
      </c>
      <c r="E5" s="23">
        <v>4</v>
      </c>
      <c r="F5" s="23">
        <v>0</v>
      </c>
      <c r="G5" s="23">
        <v>0</v>
      </c>
      <c r="H5" s="23" t="str" cm="1">
        <f t="array" ref="H5">_xlfn.IFS(I5="A",5,I5="A-",4.5,I5="B+",4,I5="B",3.5,I5="A+",5,I5="","",I5="B-",3,I5="CS","",I5="S","",I5="U","",I5="CU","", I5="C+",2.5, I5= "C", 2, I5="D+", 1.5, I5="D", 1, I5="F",0, I5="IP","")</f>
        <v/>
      </c>
      <c r="I5" s="23" t="str" cm="1">
        <f t="array" ref="I5">_xlfn.IFS(J5="", "", K5=FALSE,J5, AND(K5=TRUE,L5&gt;0),"S", AND(K5=TRUE,L5=0),"U")</f>
        <v/>
      </c>
      <c r="J5" s="23"/>
      <c r="K5" s="16" t="b">
        <v>0</v>
      </c>
      <c r="L5" t="str" cm="1">
        <f t="array" ref="L5">_xlfn.IFS(J5="A",5,J5="A-",4.5,J5="B+",4,J5="B",3.5,J5="A+",5,J5="","",J5="B-",3,J5="CS","",J5="S","",J5="U","",J5="CU","", J5="C+",2.5, J5= "C", 2, J5="D+", 1.5, J5="D", 1, J5="F",0, J5="IP","")</f>
        <v/>
      </c>
      <c r="N5" t="str">
        <f t="shared" si="0"/>
        <v/>
      </c>
      <c r="O5" t="str">
        <f t="shared" si="1"/>
        <v/>
      </c>
      <c r="P5" t="str">
        <f t="shared" si="2"/>
        <v/>
      </c>
      <c r="Q5" t="str">
        <f t="shared" si="3"/>
        <v/>
      </c>
    </row>
    <row r="6" spans="1:17" x14ac:dyDescent="0.2">
      <c r="A6" s="15" t="s">
        <v>6</v>
      </c>
      <c r="B6" s="10" t="s">
        <v>53</v>
      </c>
      <c r="C6" s="23">
        <v>4</v>
      </c>
      <c r="D6" s="23">
        <v>0</v>
      </c>
      <c r="E6" s="23">
        <v>4</v>
      </c>
      <c r="F6" s="23">
        <v>0</v>
      </c>
      <c r="G6" s="23">
        <v>0</v>
      </c>
      <c r="H6" s="23" t="str" cm="1">
        <f t="array" ref="H6">_xlfn.IFS(I6="A",5,I6="A-",4.5,I6="B+",4,I6="B",3.5,I6="A+",5,I6="","",I6="B-",3,I6="CS","",I6="S","",I6="U","",I6="CU","", I6="C+",2.5, I6= "C", 2, I6="D+", 1.5, I6="D", 1, I6="F",0, I6="IP","")</f>
        <v/>
      </c>
      <c r="I6" s="23" t="str" cm="1">
        <f t="array" ref="I6">_xlfn.IFS(J6="", "", K6=FALSE,J6, AND(K6=TRUE,L6&gt;0),"S", AND(K6=TRUE,L6=0),"U")</f>
        <v/>
      </c>
      <c r="J6" s="23"/>
      <c r="K6" s="16" t="b">
        <v>0</v>
      </c>
      <c r="L6" t="str" cm="1">
        <f t="array" ref="L6">_xlfn.IFS(J6="A",5,J6="A-",4.5,J6="B+",4,J6="B",3.5,J6="A+",5,J6="","",J6="B-",3,J6="CS","",J6="S","",J6="U","",J6="CU","", J6="C+",2.5, J6= "C", 2, J6="D+", 1.5, J6="D", 1, J6="F",0, J6="IP","")</f>
        <v/>
      </c>
      <c r="N6" t="str">
        <f t="shared" si="0"/>
        <v/>
      </c>
      <c r="O6" t="str">
        <f t="shared" si="1"/>
        <v/>
      </c>
      <c r="P6" t="str">
        <f t="shared" si="2"/>
        <v/>
      </c>
      <c r="Q6" t="str">
        <f t="shared" si="3"/>
        <v/>
      </c>
    </row>
    <row r="7" spans="1:17" x14ac:dyDescent="0.2">
      <c r="A7" s="17" t="s">
        <v>0</v>
      </c>
      <c r="B7" s="11" t="s">
        <v>57</v>
      </c>
      <c r="C7" s="24">
        <v>4</v>
      </c>
      <c r="D7" s="24">
        <v>4</v>
      </c>
      <c r="E7" s="24">
        <v>0</v>
      </c>
      <c r="F7" s="24">
        <v>0</v>
      </c>
      <c r="G7" s="24">
        <v>0</v>
      </c>
      <c r="H7" s="24" t="str" cm="1">
        <f t="array" ref="H7">_xlfn.IFS(I7="A",5,I7="A-",4.5,I7="B+",4,I7="B",3.5,I7="A+",5,I7="","",I7="B-",3,I7="CS","",I7="S","",I7="U","",I7="CU","", I7="C+",2.5, I7= "C", 2, I7="D+", 1.5, I7="D", 1, I7="F",0, I7="IP","")</f>
        <v/>
      </c>
      <c r="I7" s="24" t="str" cm="1">
        <f t="array" ref="I7">_xlfn.IFS(J7="", "", K7=FALSE,J7, AND(K7=TRUE,L7&gt;0),"S", AND(K7=TRUE,L7=0),"U")</f>
        <v/>
      </c>
      <c r="J7" s="24"/>
      <c r="K7" s="18"/>
      <c r="L7" t="str" cm="1">
        <f t="array" ref="L7">_xlfn.IFS(J7="A",5,J7="A-",4.5,J7="B+",4,J7="B",3.5,J7="A+",5,J7="","",J7="B-",3,J7="CS","",J7="S","",J7="U","",J7="CU","", J7="C+",2.5, J7= "C", 2, J7="D+", 1.5, J7="D", 1, J7="F",0, J7="IP","")</f>
        <v/>
      </c>
      <c r="N7" t="str">
        <f t="shared" si="0"/>
        <v/>
      </c>
      <c r="O7" t="str">
        <f t="shared" si="1"/>
        <v/>
      </c>
      <c r="P7" t="str">
        <f t="shared" si="2"/>
        <v/>
      </c>
      <c r="Q7" t="str">
        <f t="shared" si="3"/>
        <v/>
      </c>
    </row>
    <row r="8" spans="1:17" x14ac:dyDescent="0.2">
      <c r="A8" s="32" t="s">
        <v>22</v>
      </c>
      <c r="B8" s="33" t="s">
        <v>58</v>
      </c>
      <c r="C8" s="34">
        <v>4</v>
      </c>
      <c r="D8" s="34">
        <v>4</v>
      </c>
      <c r="E8" s="34">
        <v>0</v>
      </c>
      <c r="F8" s="34">
        <v>0</v>
      </c>
      <c r="G8" s="34">
        <v>0</v>
      </c>
      <c r="H8" s="34" t="str" cm="1">
        <f t="array" ref="H8">_xlfn.IFS(I8="A",5,I8="A-",4.5,I8="B+",4,I8="B",3.5,I8="A+",5,I8="","",I8="B-",3,I8="CS","",I8="S","",I8="U","",I8="CU","", I8="C+",2.5, I8= "C", 2, I8="D+", 1.5, I8="D", 1, I8="F",0, I8="IP","")</f>
        <v/>
      </c>
      <c r="I8" s="34" t="str" cm="1">
        <f t="array" ref="I8">_xlfn.IFS(J8="", "", K8=FALSE,J8, AND(K8=TRUE,L8&gt;0),"S", AND(K8=TRUE,L8=0),"U")</f>
        <v/>
      </c>
      <c r="J8" s="34"/>
      <c r="K8" s="28" t="b">
        <v>0</v>
      </c>
      <c r="L8" t="str" cm="1">
        <f t="array" ref="L8">_xlfn.IFS(J8="A",5,J8="A-",4.5,J8="B+",4,J8="B",3.5,J8="A+",5,J8="","",J8="B-",3,J8="CS","",J8="S","",J8="U","",J8="CU","", J8="C+",2.5, J8= "C", 2, J8="D+", 1.5, J8="D", 1, J8="F",0, J8="IP","")</f>
        <v/>
      </c>
      <c r="N8" t="str">
        <f t="shared" si="0"/>
        <v/>
      </c>
      <c r="O8" t="str">
        <f t="shared" si="1"/>
        <v/>
      </c>
      <c r="P8" t="str">
        <f t="shared" si="2"/>
        <v/>
      </c>
      <c r="Q8" t="str">
        <f t="shared" si="3"/>
        <v/>
      </c>
    </row>
    <row r="9" spans="1:17" ht="19" x14ac:dyDescent="0.25">
      <c r="A9" s="14" t="s">
        <v>23</v>
      </c>
      <c r="B9" s="9"/>
      <c r="C9" s="9"/>
      <c r="D9" s="9">
        <v>0</v>
      </c>
      <c r="E9" s="9">
        <v>0</v>
      </c>
      <c r="F9" s="9">
        <v>0</v>
      </c>
      <c r="G9" s="9">
        <v>0</v>
      </c>
      <c r="H9" s="9"/>
      <c r="I9" s="9" t="str" cm="1">
        <f t="array" ref="I9">_xlfn.IFS(J9="", "", K9=FALSE,J9, AND(K9=TRUE,L9&gt;0),"S", AND(K9=TRUE,L9=0),"U")</f>
        <v/>
      </c>
      <c r="J9" s="9"/>
      <c r="K9" s="9"/>
      <c r="L9" s="30" t="str" cm="1">
        <f t="array" ref="L9">_xlfn.IFS(J9="A",5,J9="A-",4.5,J9="B+",4,J9="B",3.5,J9="A+",5,J9="","",J9="B-",3,J9="CS","",J9="S","",J9="U","",J9="CU","", J9="C+",2.5, J9= "C", 2, J9="D+", 1.5, J9="D", 1, J9="F",0, J9="IP","")</f>
        <v/>
      </c>
      <c r="M9" s="31">
        <f>SUM(C10:C14)</f>
        <v>20</v>
      </c>
      <c r="N9" t="str">
        <f t="shared" si="0"/>
        <v/>
      </c>
      <c r="O9" t="str">
        <f t="shared" si="1"/>
        <v/>
      </c>
      <c r="P9" t="str">
        <f t="shared" si="2"/>
        <v/>
      </c>
      <c r="Q9" t="str">
        <f t="shared" si="3"/>
        <v/>
      </c>
    </row>
    <row r="10" spans="1:17" x14ac:dyDescent="0.2">
      <c r="A10" s="47" t="s">
        <v>7</v>
      </c>
      <c r="B10" s="48" t="s">
        <v>52</v>
      </c>
      <c r="C10" s="49">
        <v>4</v>
      </c>
      <c r="D10" s="49">
        <v>0</v>
      </c>
      <c r="E10" s="49">
        <v>4</v>
      </c>
      <c r="F10" s="49">
        <v>0</v>
      </c>
      <c r="G10" s="49">
        <v>0</v>
      </c>
      <c r="H10" s="49" t="str" cm="1">
        <f t="array" ref="H10">_xlfn.IFS(I10="A",5,I10="A-",4.5,I10="B+",4,I10="B",3.5,I10="A+",5,I10="","",I10="B-",3,I10="CS","",I10="S","",I10="U","",I10="CU","", I10="C+",2.5, I10= "C", 2, I10="D+", 1.5, I10="D", 1, I10="F",0, I10="IP","")</f>
        <v/>
      </c>
      <c r="I10" s="49" t="str" cm="1">
        <f t="array" ref="I10">_xlfn.IFS(J10="", "", K10=FALSE,J10, AND(K10=TRUE,L10&gt;0),"S", AND(K10=TRUE,L10=0),"U")</f>
        <v/>
      </c>
      <c r="J10" s="49"/>
      <c r="K10" s="50"/>
      <c r="L10" t="str" cm="1">
        <f t="array" ref="L10">_xlfn.IFS(J10="A",5,J10="A-",4.5,J10="B+",4,J10="B",3.5,J10="A+",5,J10="","",J10="B-",3,J10="CS","",J10="S","",J10="U","",J10="CU","", J10="C+",2.5, J10= "C", 2, J10="D+", 1.5, J10="D", 1, J10="F",0, J10="IP","")</f>
        <v/>
      </c>
      <c r="N10" t="str">
        <f>IF(H10 = "", "", H10*C10)</f>
        <v/>
      </c>
      <c r="O10" t="str">
        <f t="shared" si="1"/>
        <v/>
      </c>
      <c r="P10" t="str">
        <f t="shared" si="2"/>
        <v/>
      </c>
      <c r="Q10" t="str">
        <f t="shared" si="3"/>
        <v/>
      </c>
    </row>
    <row r="11" spans="1:17" x14ac:dyDescent="0.2">
      <c r="A11" s="15" t="s">
        <v>8</v>
      </c>
      <c r="B11" s="10" t="s">
        <v>59</v>
      </c>
      <c r="C11" s="23">
        <v>4</v>
      </c>
      <c r="D11" s="23">
        <v>0</v>
      </c>
      <c r="E11" s="23">
        <v>4</v>
      </c>
      <c r="F11" s="23">
        <v>0</v>
      </c>
      <c r="G11" s="23">
        <v>0</v>
      </c>
      <c r="H11" s="23" t="str" cm="1">
        <f t="array" ref="H11">_xlfn.IFS(I11="A",5,I11="A-",4.5,I11="B+",4,I11="B",3.5,I11="A+",5,I11="","",I11="B-",3,I11="CS","",I11="S","",I11="U","",I11="CU","", I11="C+",2.5, I11= "C", 2, I11="D+", 1.5, I11="D", 1, I11="F",0, I11="IP","")</f>
        <v/>
      </c>
      <c r="I11" s="23" t="str" cm="1">
        <f t="array" ref="I11">_xlfn.IFS(J11="", "", K11=FALSE,J11, AND(K11=TRUE,L11&gt;0),"S", AND(K11=TRUE,L11=0),"U")</f>
        <v/>
      </c>
      <c r="J11" s="23"/>
      <c r="K11" s="20"/>
      <c r="L11" t="str" cm="1">
        <f t="array" ref="L11">_xlfn.IFS(J11="A",5,J11="A-",4.5,J11="B+",4,J11="B",3.5,J11="A+",5,J11="","",J11="B-",3,J11="CS","",J11="S","",J11="U","",J11="CU","", J11="C+",2.5, J11= "C", 2, J11="D+", 1.5, J11="D", 1, J11="F",0, J11="IP","")</f>
        <v/>
      </c>
      <c r="N11" t="str">
        <f t="shared" si="0"/>
        <v/>
      </c>
      <c r="O11" t="str">
        <f t="shared" si="1"/>
        <v/>
      </c>
      <c r="P11" t="str">
        <f t="shared" si="2"/>
        <v/>
      </c>
      <c r="Q11" t="str">
        <f t="shared" si="3"/>
        <v/>
      </c>
    </row>
    <row r="12" spans="1:17" x14ac:dyDescent="0.2">
      <c r="A12" s="15" t="s">
        <v>11</v>
      </c>
      <c r="B12" s="10" t="s">
        <v>60</v>
      </c>
      <c r="C12" s="23">
        <v>4</v>
      </c>
      <c r="D12" s="23">
        <v>0</v>
      </c>
      <c r="E12" s="23">
        <v>4</v>
      </c>
      <c r="F12" s="23">
        <v>0</v>
      </c>
      <c r="G12" s="23">
        <v>0</v>
      </c>
      <c r="H12" s="23" t="str" cm="1">
        <f t="array" ref="H12">_xlfn.IFS(I12="A",5,I12="A-",4.5,I12="B+",4,I12="B",3.5,I12="A+",5,I12="","",I12="B-",3,I12="CS","",I12="S","",I12="U","",I12="CU","", I12="C+",2.5, I12= "C", 2, I12="D+", 1.5, I12="D", 1, I12="F",0, I12="IP","")</f>
        <v/>
      </c>
      <c r="I12" s="23" t="str" cm="1">
        <f t="array" ref="I12">_xlfn.IFS(J12="", "", K12=FALSE,J12, AND(K12=TRUE,L12&gt;0),"S", AND(K12=TRUE,L12=0),"U")</f>
        <v/>
      </c>
      <c r="J12" s="23"/>
      <c r="K12" s="16" t="b">
        <v>0</v>
      </c>
      <c r="L12" t="str" cm="1">
        <f t="array" ref="L12">_xlfn.IFS(J12="A",5,J12="A-",4.5,J12="B+",4,J12="B",3.5,J12="A+",5,J12="","",J12="B-",3,J12="CS","",J12="S","",J12="U","",J12="CU","", J12="C+",2.5, J12= "C", 2, J12="D+", 1.5, J12="D", 1, J12="F",0, J12="IP","")</f>
        <v/>
      </c>
      <c r="N12" t="str">
        <f>IF(H12 = "", "", H12*C12)</f>
        <v/>
      </c>
      <c r="O12" t="str">
        <f t="shared" si="1"/>
        <v/>
      </c>
      <c r="P12" t="str">
        <f t="shared" si="2"/>
        <v/>
      </c>
      <c r="Q12" t="str">
        <f t="shared" si="3"/>
        <v/>
      </c>
    </row>
    <row r="13" spans="1:17" x14ac:dyDescent="0.2">
      <c r="A13" s="17" t="s">
        <v>9</v>
      </c>
      <c r="B13" s="11" t="s">
        <v>61</v>
      </c>
      <c r="C13" s="24">
        <v>4</v>
      </c>
      <c r="D13" s="24">
        <v>4</v>
      </c>
      <c r="E13" s="24">
        <v>0</v>
      </c>
      <c r="F13" s="24">
        <v>0</v>
      </c>
      <c r="G13" s="24">
        <v>0</v>
      </c>
      <c r="H13" s="24" t="str" cm="1">
        <f t="array" ref="H13">_xlfn.IFS(I13="A",5,I13="A-",4.5,I13="B+",4,I13="B",3.5,I13="A+",5,I13="","",I13="B-",3,I13="CS","",I13="S","",I13="U","",I13="CU","", I13="C+",2.5, I13= "C", 2, I13="D+", 1.5, I13="D", 1, I13="F",0, I13="IP","")</f>
        <v/>
      </c>
      <c r="I13" s="24" t="str" cm="1">
        <f t="array" ref="I13">_xlfn.IFS(J13="", "", K13=FALSE,J13, AND(K13=TRUE,L13&gt;0),"S", AND(K13=TRUE,L13=0),"U")</f>
        <v/>
      </c>
      <c r="J13" s="24"/>
      <c r="K13" s="19" t="b">
        <v>0</v>
      </c>
      <c r="L13" t="str" cm="1">
        <f t="array" ref="L13">_xlfn.IFS(J13="A",5,J13="A-",4.5,J13="B+",4,J13="B",3.5,J13="A+",5,J13="","",J13="B-",3,J13="CS","",J13="S","",J13="U","",J13="CU","", J13="C+",2.5, J13= "C", 2, J13="D+", 1.5, J13="D", 1, J13="F",0, J13="IP","")</f>
        <v/>
      </c>
      <c r="N13" t="str">
        <f t="shared" si="0"/>
        <v/>
      </c>
      <c r="O13" t="str">
        <f t="shared" si="1"/>
        <v/>
      </c>
      <c r="P13" t="str">
        <f t="shared" si="2"/>
        <v/>
      </c>
      <c r="Q13" t="str">
        <f t="shared" si="3"/>
        <v/>
      </c>
    </row>
    <row r="14" spans="1:17" x14ac:dyDescent="0.2">
      <c r="A14" s="32" t="s">
        <v>10</v>
      </c>
      <c r="B14" s="33" t="s">
        <v>62</v>
      </c>
      <c r="C14" s="34">
        <v>4</v>
      </c>
      <c r="D14" s="34">
        <v>4</v>
      </c>
      <c r="E14" s="34">
        <v>0</v>
      </c>
      <c r="F14" s="34">
        <v>0</v>
      </c>
      <c r="G14" s="34">
        <v>0</v>
      </c>
      <c r="H14" s="34" t="str" cm="1">
        <f t="array" ref="H14">_xlfn.IFS(I14="A",5,I14="A-",4.5,I14="B+",4,I14="B",3.5,I14="A+",5,I14="","",I14="B-",3,I14="CS","",I14="S","",I14="U","",I14="CU","", I14="C+",2.5, I14= "C", 2, I14="D+", 1.5, I14="D", 1, I14="F",0, I14="IP","")</f>
        <v/>
      </c>
      <c r="I14" s="34" t="str" cm="1">
        <f t="array" ref="I14">_xlfn.IFS(J14="", "", K14=FALSE,J14, AND(K14=TRUE,L14&gt;0),"S", AND(K14=TRUE,L14=0),"U")</f>
        <v/>
      </c>
      <c r="J14" s="34"/>
      <c r="K14" s="28" t="b">
        <v>0</v>
      </c>
      <c r="L14" t="str" cm="1">
        <f t="array" ref="L14">_xlfn.IFS(J14="A",5,J14="A-",4.5,J14="B+",4,J14="B",3.5,J14="A+",5,J14="","",J14="B-",3,J14="CS","",J14="S","",J14="U","",J14="CU","", J14="C+",2.5, J14= "C", 2, J14="D+", 1.5, J14="D", 1, J14="F",0, J14="IP","")</f>
        <v/>
      </c>
      <c r="N14" t="str">
        <f>IF(H14 = "", "", H14*C14)</f>
        <v/>
      </c>
      <c r="O14" t="str">
        <f t="shared" si="1"/>
        <v/>
      </c>
      <c r="P14" t="str">
        <f t="shared" si="2"/>
        <v/>
      </c>
      <c r="Q14" t="str">
        <f t="shared" si="3"/>
        <v/>
      </c>
    </row>
    <row r="15" spans="1:17" ht="19" x14ac:dyDescent="0.25">
      <c r="A15" s="14" t="s">
        <v>45</v>
      </c>
      <c r="B15" s="9"/>
      <c r="C15" s="9"/>
      <c r="D15" s="9">
        <v>0</v>
      </c>
      <c r="E15" s="9">
        <v>0</v>
      </c>
      <c r="F15" s="9">
        <v>0</v>
      </c>
      <c r="G15" s="9">
        <v>0</v>
      </c>
      <c r="H15" s="9" t="str" cm="1">
        <f t="array" ref="H15">_xlfn.IFS(I15="A",5,I15="A-",4.5,I15="B+",4,I15="B",3.5,I15="A+",5,I15="","",I15="B-",3,I15="CS","",I15="S","",I15="U","",I15="CU","", I15="C+",2.5, I15= "C", 2, I15="D+", 1.5, I15="D", 1, I15="F",0, I15="IP","")</f>
        <v/>
      </c>
      <c r="I15" s="9" t="str" cm="1">
        <f t="array" ref="I15">_xlfn.IFS(J15="", "", K15=FALSE,J15, AND(K15=TRUE,L15&gt;0),"S", AND(K15=TRUE,L15=0),"U")</f>
        <v/>
      </c>
      <c r="J15" s="9"/>
      <c r="K15" s="9"/>
      <c r="L15" s="30" t="str" cm="1">
        <f t="array" ref="L15">_xlfn.IFS(J15="A",5,J15="A-",4.5,J15="B+",4,J15="B",3.5,J15="A+",5,J15="","",J15="B-",3,J15="CS","",J15="S","",J15="U","",J15="CU","", J15="C+",2.5, J15= "C", 2, J15="D+", 1.5, J15="D", 1, J15="F",0, J15="IP","")</f>
        <v/>
      </c>
      <c r="M15" s="31">
        <f>SUM(C16)</f>
        <v>2</v>
      </c>
      <c r="N15" t="str">
        <f t="shared" si="0"/>
        <v/>
      </c>
      <c r="O15" t="str">
        <f t="shared" si="1"/>
        <v/>
      </c>
      <c r="P15" t="str">
        <f t="shared" si="2"/>
        <v/>
      </c>
      <c r="Q15" t="str">
        <f t="shared" si="3"/>
        <v/>
      </c>
    </row>
    <row r="16" spans="1:17" x14ac:dyDescent="0.2">
      <c r="A16" s="54" t="s">
        <v>46</v>
      </c>
      <c r="B16" s="4" t="s">
        <v>63</v>
      </c>
      <c r="C16" s="55">
        <v>2</v>
      </c>
      <c r="D16" s="55">
        <v>2</v>
      </c>
      <c r="E16" s="55">
        <v>0</v>
      </c>
      <c r="F16" s="55">
        <v>0</v>
      </c>
      <c r="G16" s="55">
        <v>0</v>
      </c>
      <c r="H16" s="55" t="str" cm="1">
        <f t="array" ref="H16">_xlfn.IFS(I16="A",5,I16="A-",4.5,I16="B+",4,I16="B",3.5,I16="A+",5,I16="","",I16="B-",3,I16="CS","",I16="S","",I16="U","",I16="CU","", I16="C+",2.5, I16= "C", 2, I16="D+", 1.5, I16="D", 1, I16="F",0, I16="IP","")</f>
        <v/>
      </c>
      <c r="I16" s="55" t="str" cm="1">
        <f t="array" ref="I16">_xlfn.IFS(J16="", "", K16=FALSE,J16, AND(K16=TRUE,L16&gt;0),"S", AND(K16=TRUE,L16=0),"U")</f>
        <v>IP</v>
      </c>
      <c r="J16" s="55" t="s">
        <v>49</v>
      </c>
      <c r="K16" s="56"/>
      <c r="L16" t="str" cm="1">
        <f t="array" ref="L16">_xlfn.IFS(J16="A",5,J16="A-",4.5,J16="B+",4,J16="B",3.5,J16="A+",5,J16="","",J16="B-",3,J16="CS","",J16="S","",J16="U","",J16="CU","", J16="C+",2.5, J16= "C", 2, J16="D+", 1.5, J16="D", 1, J16="F",0, J16="IP","")</f>
        <v/>
      </c>
      <c r="N16" t="str">
        <f>IF(H16 = "", "", H16*C16)</f>
        <v/>
      </c>
      <c r="O16" t="str">
        <f t="shared" si="1"/>
        <v/>
      </c>
      <c r="P16" t="str">
        <f t="shared" si="2"/>
        <v/>
      </c>
      <c r="Q16" t="str">
        <f t="shared" si="3"/>
        <v/>
      </c>
    </row>
    <row r="17" spans="1:17" ht="19" x14ac:dyDescent="0.25">
      <c r="A17" s="14" t="s">
        <v>24</v>
      </c>
      <c r="B17" s="9"/>
      <c r="C17" s="9"/>
      <c r="D17" s="9">
        <v>0</v>
      </c>
      <c r="E17" s="9">
        <v>0</v>
      </c>
      <c r="F17" s="9">
        <v>0</v>
      </c>
      <c r="G17" s="9">
        <v>0</v>
      </c>
      <c r="H17" s="9" t="str" cm="1">
        <f t="array" ref="H17">_xlfn.IFS(I17="A",5,I17="A-",4.5,I17="B+",4,I17="B",3.5,I17="A+",5,I17="","",I17="B-",3,I17="CS","",I17="S","",I17="U","",I17="CU","", I17="C+",2.5, I17= "C", 2, I17="D+", 1.5, I17="D", 1, I17="F",0, I17="IP","")</f>
        <v/>
      </c>
      <c r="I17" s="9" t="str" cm="1">
        <f t="array" ref="I17">_xlfn.IFS(J17="", "", K17=FALSE,J17, AND(K17=TRUE,L17&gt;0),"S", AND(K17=TRUE,L17=0),"U")</f>
        <v/>
      </c>
      <c r="J17" s="9"/>
      <c r="K17" s="9"/>
      <c r="L17" s="30" t="str" cm="1">
        <f t="array" ref="L17">_xlfn.IFS(J17="A",5,J17="A-",4.5,J17="B+",4,J17="B",3.5,J17="A+",5,J17="","",J17="B-",3,J17="CS","",J17="S","",J17="U","",J17="CU","", J17="C+",2.5, J17= "C", 2, J17="D+", 1.5, J17="D", 1, J17="F",0, J17="IP","")</f>
        <v/>
      </c>
      <c r="M17" s="31">
        <f>SUM(C18:C24)</f>
        <v>23</v>
      </c>
      <c r="N17" t="str">
        <f t="shared" si="0"/>
        <v/>
      </c>
      <c r="O17" t="str">
        <f t="shared" si="1"/>
        <v/>
      </c>
      <c r="P17" t="str">
        <f t="shared" si="2"/>
        <v/>
      </c>
      <c r="Q17" t="str">
        <f t="shared" si="3"/>
        <v/>
      </c>
    </row>
    <row r="18" spans="1:17" x14ac:dyDescent="0.2">
      <c r="A18" s="47" t="s">
        <v>13</v>
      </c>
      <c r="B18" s="48" t="s">
        <v>64</v>
      </c>
      <c r="C18" s="49">
        <v>4</v>
      </c>
      <c r="D18" s="49">
        <v>0</v>
      </c>
      <c r="E18" s="49">
        <v>4</v>
      </c>
      <c r="F18" s="49">
        <v>0</v>
      </c>
      <c r="G18" s="49">
        <v>0</v>
      </c>
      <c r="H18" s="49" t="str" cm="1">
        <f t="array" ref="H18">_xlfn.IFS(I18="A",5,I18="A-",4.5,I18="B+",4,I18="B",3.5,I18="A+",5,I18="","",I18="B-",3,I18="CS","",I18="S","",I18="U","",I18="CU","", I18="C+",2.5, I18= "C", 2, I18="D+", 1.5, I18="D", 1, I18="F",0, I18="IP","")</f>
        <v/>
      </c>
      <c r="I18" s="49" t="str" cm="1">
        <f t="array" ref="I18">_xlfn.IFS(J18="", "", K18=FALSE,J18, AND(K18=TRUE,L18&gt;0),"S", AND(K18=TRUE,L18=0),"U")</f>
        <v/>
      </c>
      <c r="J18" s="49"/>
      <c r="K18" s="50"/>
      <c r="L18" t="str" cm="1">
        <f t="array" ref="L18">_xlfn.IFS(J18="A",5,J18="A-",4.5,J18="B+",4,J18="B",3.5,J18="A+",5,J18="","",J18="B-",3,J18="CS","",J18="S","",J18="U","",J18="CU","", J18="C+",2.5, J18= "C", 2, J18="D+", 1.5, J18="D", 1, J18="F",0, J18="IP","")</f>
        <v/>
      </c>
      <c r="N18" t="str">
        <f t="shared" si="0"/>
        <v/>
      </c>
      <c r="O18" t="str">
        <f t="shared" si="1"/>
        <v/>
      </c>
      <c r="P18" t="str">
        <f t="shared" si="2"/>
        <v/>
      </c>
      <c r="Q18" t="str">
        <f t="shared" si="3"/>
        <v/>
      </c>
    </row>
    <row r="19" spans="1:17" x14ac:dyDescent="0.2">
      <c r="A19" s="15" t="s">
        <v>16</v>
      </c>
      <c r="B19" s="10" t="s">
        <v>51</v>
      </c>
      <c r="C19" s="23">
        <v>4</v>
      </c>
      <c r="D19" s="23">
        <v>0</v>
      </c>
      <c r="E19" s="23">
        <v>4</v>
      </c>
      <c r="F19" s="23">
        <v>0</v>
      </c>
      <c r="G19" s="23">
        <v>0</v>
      </c>
      <c r="H19" s="23" t="str" cm="1">
        <f t="array" ref="H19">_xlfn.IFS(I19="A",5,I19="A-",4.5,I19="B+",4,I19="B",3.5,I19="A+",5,I19="","",I19="B-",3,I19="CS","",I19="S","",I19="U","",I19="CU","", I19="C+",2.5, I19= "C", 2, I19="D+", 1.5, I19="D", 1, I19="F",0, I19="IP","")</f>
        <v/>
      </c>
      <c r="I19" s="23" t="str" cm="1">
        <f t="array" ref="I19">_xlfn.IFS(J19="", "", K19=FALSE,J19, AND(K19=TRUE,L19&gt;0),"S", AND(K19=TRUE,L19=0),"U")</f>
        <v/>
      </c>
      <c r="J19" s="23"/>
      <c r="K19" s="20"/>
      <c r="L19" t="str" cm="1">
        <f t="array" ref="L19">_xlfn.IFS(J19="A",5,J19="A-",4.5,J19="B+",4,J19="B",3.5,J19="A+",5,J19="","",J19="B-",3,J19="CS","",J19="S","",J19="U","",J19="CU","", J19="C+",2.5, J19= "C", 2, J19="D+", 1.5, J19="D", 1, J19="F",0, J19="IP","")</f>
        <v/>
      </c>
      <c r="N19" t="str">
        <f>IF(H19 = "", "", H19*C19)</f>
        <v/>
      </c>
      <c r="O19" t="str">
        <f t="shared" si="1"/>
        <v/>
      </c>
      <c r="P19" t="str">
        <f t="shared" si="2"/>
        <v/>
      </c>
      <c r="Q19" t="str">
        <f t="shared" si="3"/>
        <v/>
      </c>
    </row>
    <row r="20" spans="1:17" x14ac:dyDescent="0.2">
      <c r="A20" s="15" t="s">
        <v>17</v>
      </c>
      <c r="B20" s="10" t="s">
        <v>65</v>
      </c>
      <c r="C20" s="23">
        <v>4</v>
      </c>
      <c r="D20" s="23">
        <v>0</v>
      </c>
      <c r="E20" s="23">
        <v>4</v>
      </c>
      <c r="F20" s="23">
        <v>0</v>
      </c>
      <c r="G20" s="23">
        <v>0</v>
      </c>
      <c r="H20" s="23" t="str" cm="1">
        <f t="array" ref="H20">_xlfn.IFS(I20="A",5,I20="A-",4.5,I20="B+",4,I20="B",3.5,I20="A+",5,I20="","",I20="B-",3,I20="CS","",I20="S","",I20="U","",I20="CU","", I20="C+",2.5, I20= "C", 2, I20="D+", 1.5, I20="D", 1, I20="F",0, I20="IP","")</f>
        <v/>
      </c>
      <c r="I20" s="23" t="str" cm="1">
        <f t="array" ref="I20">_xlfn.IFS(J20="", "", K20=FALSE,J20, AND(K20=TRUE,L20&gt;0),"S", AND(K20=TRUE,L20=0),"U")</f>
        <v/>
      </c>
      <c r="J20" s="23"/>
      <c r="K20" s="20"/>
      <c r="L20" t="str" cm="1">
        <f t="array" ref="L20">_xlfn.IFS(J20="A",5,J20="A-",4.5,J20="B+",4,J20="B",3.5,J20="A+",5,J20="","",J20="B-",3,J20="CS","",J20="S","",J20="U","",J20="CU","", J20="C+",2.5, J20= "C", 2, J20="D+", 1.5, J20="D", 1, J20="F",0, J20="IP","")</f>
        <v/>
      </c>
      <c r="N20" t="str">
        <f t="shared" si="0"/>
        <v/>
      </c>
      <c r="O20" t="str">
        <f t="shared" si="1"/>
        <v/>
      </c>
      <c r="P20" t="str">
        <f t="shared" si="2"/>
        <v/>
      </c>
      <c r="Q20" t="str">
        <f t="shared" si="3"/>
        <v/>
      </c>
    </row>
    <row r="21" spans="1:17" x14ac:dyDescent="0.2">
      <c r="A21" s="17" t="s">
        <v>47</v>
      </c>
      <c r="B21" s="11" t="s">
        <v>63</v>
      </c>
      <c r="C21" s="24">
        <v>2</v>
      </c>
      <c r="D21" s="24">
        <v>2</v>
      </c>
      <c r="E21" s="24">
        <v>0</v>
      </c>
      <c r="F21" s="24">
        <v>0</v>
      </c>
      <c r="G21" s="24">
        <v>0</v>
      </c>
      <c r="H21" s="24" t="str" cm="1">
        <f t="array" ref="H21">_xlfn.IFS(I21="A",5,I21="A-",4.5,I21="B+",4,I21="B",3.5,I21="A+",5,I21="","",I21="B-",3,I21="CS","",I21="S","",I21="U","",I21="CU","", I21="C+",2.5, I21= "C", 2, I21="D+", 1.5, I21="D", 1, I21="F",0, I21="IP","")</f>
        <v/>
      </c>
      <c r="I21" s="24" t="str" cm="1">
        <f t="array" ref="I21">_xlfn.IFS(J21="", "", K21=FALSE,J21, AND(K21=TRUE,L21&gt;0),"S", AND(K21=TRUE,L21=0),"U")</f>
        <v/>
      </c>
      <c r="J21" s="24"/>
      <c r="K21" s="18"/>
      <c r="L21" t="str" cm="1">
        <f t="array" ref="L21">_xlfn.IFS(J21="A",5,J21="A-",4.5,J21="B+",4,J21="B",3.5,J21="A+",5,J21="","",J21="B-",3,J21="CS","",J21="S","",J21="U","",J21="CU","", J21="C+",2.5, J21= "C", 2, J21="D+", 1.5, J21="D", 1, J21="F",0, J21="IP","")</f>
        <v/>
      </c>
      <c r="N21" t="str">
        <f t="shared" si="0"/>
        <v/>
      </c>
      <c r="O21" t="str">
        <f t="shared" si="1"/>
        <v/>
      </c>
      <c r="P21" t="str">
        <f t="shared" si="2"/>
        <v/>
      </c>
      <c r="Q21" t="str">
        <f t="shared" si="3"/>
        <v/>
      </c>
    </row>
    <row r="22" spans="1:17" x14ac:dyDescent="0.2">
      <c r="A22" s="17" t="s">
        <v>19</v>
      </c>
      <c r="B22" s="11" t="s">
        <v>67</v>
      </c>
      <c r="C22" s="24">
        <v>4</v>
      </c>
      <c r="D22" s="24">
        <v>4</v>
      </c>
      <c r="E22" s="24">
        <v>0</v>
      </c>
      <c r="F22" s="24">
        <v>0</v>
      </c>
      <c r="G22" s="24">
        <v>0</v>
      </c>
      <c r="H22" s="24" t="str" cm="1">
        <f t="array" ref="H22">_xlfn.IFS(I22="A",5,I22="A-",4.5,I22="B+",4,I22="B",3.5,I22="A+",5,I22="","",I22="B-",3,I22="CS","",I22="S","",I22="U","",I22="CU","", I22="C+",2.5, I22= "C", 2, I22="D+", 1.5, I22="D", 1, I22="F",0, I22="IP","")</f>
        <v/>
      </c>
      <c r="I22" s="24" t="str" cm="1">
        <f t="array" ref="I22">_xlfn.IFS(J22="", "", K22=FALSE,J22, AND(K22=TRUE,L22&gt;0),"S", AND(K22=TRUE,L22=0),"U")</f>
        <v/>
      </c>
      <c r="J22" s="24"/>
      <c r="K22" s="19" t="b">
        <v>0</v>
      </c>
      <c r="L22" t="str" cm="1">
        <f t="array" ref="L22">_xlfn.IFS(J22="A",5,J22="A-",4.5,J22="B+",4,J22="B",3.5,J22="A+",5,J22="","",J22="B-",3,J22="CS","",J22="S","",J22="U","",J22="CU","", J22="C+",2.5, J22= "C", 2, J22="D+", 1.5, J22="D", 1, J22="F",0, J22="IP","")</f>
        <v/>
      </c>
      <c r="N22" t="str">
        <f t="shared" si="0"/>
        <v/>
      </c>
      <c r="O22" t="str">
        <f t="shared" si="1"/>
        <v/>
      </c>
      <c r="P22" t="str">
        <f t="shared" si="2"/>
        <v/>
      </c>
      <c r="Q22" t="str">
        <f t="shared" si="3"/>
        <v/>
      </c>
    </row>
    <row r="23" spans="1:17" x14ac:dyDescent="0.2">
      <c r="A23" s="17" t="s">
        <v>44</v>
      </c>
      <c r="B23" s="11" t="s">
        <v>66</v>
      </c>
      <c r="C23" s="24">
        <v>1</v>
      </c>
      <c r="D23" s="24">
        <v>1</v>
      </c>
      <c r="E23" s="24">
        <v>0</v>
      </c>
      <c r="F23" s="24">
        <v>0</v>
      </c>
      <c r="G23" s="24">
        <v>0</v>
      </c>
      <c r="H23" s="24" t="str" cm="1">
        <f t="array" ref="H23">_xlfn.IFS(I23="A",5,I23="A-",4.5,I23="B+",4,I23="B",3.5,I23="A+",5,I23="","",I23="B-",3,I23="CS","",I23="S","",I23="U","",I23="CU","", I23="C+",2.5, I23= "C", 2, I23="D+", 1.5, I23="D", 1, I23="F",0, I23="IP","")</f>
        <v/>
      </c>
      <c r="I23" s="24" t="str" cm="1">
        <f t="array" ref="I23">_xlfn.IFS(J23="", "", K23=FALSE,J23, AND(K23=TRUE,L23&gt;0),"S", AND(K23=TRUE,L23=0),"U")</f>
        <v>IP</v>
      </c>
      <c r="J23" s="24" t="s">
        <v>49</v>
      </c>
      <c r="K23" s="18"/>
      <c r="L23" t="str" cm="1">
        <f t="array" ref="L23">_xlfn.IFS(J23="A",5,J23="A-",4.5,J23="B+",4,J23="B",3.5,J23="A+",5,J23="","",J23="B-",3,J23="CS","",J23="S","",J23="U","",J23="CU","", J23="C+",2.5, J23= "C", 2, J23="D+", 1.5, J23="D", 1, J23="F",0, J23="IP","")</f>
        <v/>
      </c>
      <c r="N23" t="str">
        <f t="shared" si="0"/>
        <v/>
      </c>
      <c r="O23" t="str">
        <f t="shared" si="1"/>
        <v/>
      </c>
      <c r="P23" t="str">
        <f t="shared" si="2"/>
        <v/>
      </c>
      <c r="Q23" t="str">
        <f t="shared" si="3"/>
        <v/>
      </c>
    </row>
    <row r="24" spans="1:17" x14ac:dyDescent="0.2">
      <c r="A24" s="36" t="s">
        <v>20</v>
      </c>
      <c r="B24" s="37" t="s">
        <v>93</v>
      </c>
      <c r="C24" s="38">
        <v>4</v>
      </c>
      <c r="D24" s="38">
        <v>0</v>
      </c>
      <c r="E24" s="38">
        <v>0</v>
      </c>
      <c r="F24" s="38">
        <v>4</v>
      </c>
      <c r="G24" s="38">
        <v>0</v>
      </c>
      <c r="H24" s="38" t="str" cm="1">
        <f t="array" ref="H24">_xlfn.IFS(I24="A",5,I24="A-",4.5,I24="B+",4,I24="B",3.5,I24="A+",5,I24="","",I24="B-",3,I24="CS","",I24="S","",I24="U","",I24="CU","", I24="C+",2.5, I24= "C", 2, I24="D+", 1.5, I24="D", 1, I24="F",0, I24="IP","")</f>
        <v/>
      </c>
      <c r="I24" s="38" t="str" cm="1">
        <f t="array" ref="I24">_xlfn.IFS(J24="", "", K24=FALSE,J24, AND(K24=TRUE,L24&gt;0),"S", AND(K24=TRUE,L24=0),"U")</f>
        <v/>
      </c>
      <c r="J24" s="38"/>
      <c r="K24" s="39"/>
      <c r="L24" t="str" cm="1">
        <f t="array" ref="L24">_xlfn.IFS(J24="A",5,J24="A-",4.5,J24="B+",4,J24="B",3.5,J24="A+",5,J24="","",J24="B-",3,J24="CS","",J24="S","",J24="U","",J24="CU","", J24="C+",2.5, J24= "C", 2, J24="D+", 1.5, J24="D", 1, J24="F",0, J24="IP","")</f>
        <v/>
      </c>
      <c r="N24" t="str">
        <f t="shared" si="0"/>
        <v/>
      </c>
      <c r="O24" t="str">
        <f t="shared" si="1"/>
        <v/>
      </c>
      <c r="P24" t="str">
        <f t="shared" si="2"/>
        <v/>
      </c>
      <c r="Q24" t="str">
        <f t="shared" si="3"/>
        <v/>
      </c>
    </row>
    <row r="25" spans="1:17" ht="19" x14ac:dyDescent="0.25">
      <c r="A25" s="14" t="s">
        <v>25</v>
      </c>
      <c r="B25" s="9"/>
      <c r="C25" s="9"/>
      <c r="D25" s="9">
        <v>0</v>
      </c>
      <c r="E25" s="9">
        <v>0</v>
      </c>
      <c r="F25" s="9">
        <v>0</v>
      </c>
      <c r="G25" s="9">
        <v>0</v>
      </c>
      <c r="H25" s="9"/>
      <c r="I25" s="9"/>
      <c r="J25" s="9"/>
      <c r="K25" s="9"/>
      <c r="L25" s="30" t="str" cm="1">
        <f t="array" ref="L25">_xlfn.IFS(J25="A",5,J25="A-",4.5,J25="B+",4,J25="B",3.5,J25="A+",5,J25="","",J25="B-",3,J25="CS","",J25="S","",J25="U","",J25="CU","", J25="C+",2.5, J25= "C", 2, J25="D+", 1.5, J25="D", 1, J25="F",0, J25="IP","")</f>
        <v/>
      </c>
      <c r="M25" s="31">
        <f>SUM(C26:C32)</f>
        <v>25</v>
      </c>
      <c r="N25" t="str">
        <f t="shared" si="0"/>
        <v/>
      </c>
      <c r="O25" t="str">
        <f t="shared" si="1"/>
        <v/>
      </c>
      <c r="P25" t="str">
        <f t="shared" si="2"/>
        <v/>
      </c>
      <c r="Q25" t="str">
        <f t="shared" si="3"/>
        <v/>
      </c>
    </row>
    <row r="26" spans="1:17" x14ac:dyDescent="0.2">
      <c r="A26" s="47" t="s">
        <v>14</v>
      </c>
      <c r="B26" s="48" t="s">
        <v>68</v>
      </c>
      <c r="C26" s="49">
        <v>4</v>
      </c>
      <c r="D26" s="49">
        <v>0</v>
      </c>
      <c r="E26" s="49">
        <v>4</v>
      </c>
      <c r="F26" s="49">
        <v>0</v>
      </c>
      <c r="G26" s="49">
        <v>0</v>
      </c>
      <c r="H26" s="49" t="str" cm="1">
        <f t="array" ref="H26">_xlfn.IFS(I26="A",5,I26="A-",4.5,I26="B+",4,I26="B",3.5,I26="A+",5,I26="","",I26="B-",3,I26="CS","",I26="S","",I26="U","",I26="CU","", I26="C+",2.5, I26= "C", 2, I26="D+", 1.5, I26="D", 1, I26="F",0, I26="IP","")</f>
        <v/>
      </c>
      <c r="I26" s="49" t="str" cm="1">
        <f t="array" ref="I26">_xlfn.IFS(J26="", "", K26=FALSE,J26, AND(K26=TRUE,L26&gt;0),"S", AND(K26=TRUE,L26=0),"U")</f>
        <v/>
      </c>
      <c r="J26" s="49"/>
      <c r="K26" s="50"/>
      <c r="L26" t="str" cm="1">
        <f t="array" ref="L26">_xlfn.IFS(J26="A",5,J26="A-",4.5,J26="B+",4,J26="B",3.5,J26="A+",5,J26="","",J26="B-",3,J26="CS","",J26="S","",J26="U","",J26="CU","", J26="C+",2.5, J26= "C", 2, J26="D+", 1.5, J26="D", 1, J26="F",0, J26="IP","")</f>
        <v/>
      </c>
      <c r="N26" t="str">
        <f t="shared" si="0"/>
        <v/>
      </c>
      <c r="O26" t="str">
        <f t="shared" si="1"/>
        <v/>
      </c>
      <c r="P26" t="str">
        <f t="shared" si="2"/>
        <v/>
      </c>
      <c r="Q26" t="str">
        <f t="shared" si="3"/>
        <v/>
      </c>
    </row>
    <row r="27" spans="1:17" x14ac:dyDescent="0.2">
      <c r="A27" s="15" t="s">
        <v>15</v>
      </c>
      <c r="B27" s="10" t="s">
        <v>69</v>
      </c>
      <c r="C27" s="23">
        <v>4</v>
      </c>
      <c r="D27" s="23">
        <v>0</v>
      </c>
      <c r="E27" s="23">
        <v>4</v>
      </c>
      <c r="F27" s="23">
        <v>0</v>
      </c>
      <c r="G27" s="23">
        <v>0</v>
      </c>
      <c r="H27" s="23" t="str" cm="1">
        <f t="array" ref="H27">_xlfn.IFS(I27="A",5,I27="A-",4.5,I27="B+",4,I27="B",3.5,I27="A+",5,I27="","",I27="B-",3,I27="CS","",I27="S","",I27="U","",I27="CU","", I27="C+",2.5, I27= "C", 2, I27="D+", 1.5, I27="D", 1, I27="F",0, I27="IP","")</f>
        <v/>
      </c>
      <c r="I27" s="23" t="str" cm="1">
        <f t="array" ref="I27">_xlfn.IFS(J27="", "", K27=FALSE,J27, AND(K27=TRUE,L27&gt;0),"S", AND(K27=TRUE,L27=0),"U")</f>
        <v/>
      </c>
      <c r="J27" s="23"/>
      <c r="K27" s="20"/>
      <c r="L27" t="str" cm="1">
        <f t="array" ref="L27">_xlfn.IFS(J27="A",5,J27="A-",4.5,J27="B+",4,J27="B",3.5,J27="A+",5,J27="","",J27="B-",3,J27="CS","",J27="S","",J27="U","",J27="CU","", J27="C+",2.5, J27= "C", 2, J27="D+", 1.5, J27="D", 1, J27="F",0, J27="IP","")</f>
        <v/>
      </c>
      <c r="N27" t="str">
        <f t="shared" si="0"/>
        <v/>
      </c>
      <c r="O27" t="str">
        <f t="shared" si="1"/>
        <v/>
      </c>
      <c r="P27" t="str">
        <f t="shared" si="2"/>
        <v/>
      </c>
      <c r="Q27" t="str">
        <f t="shared" si="3"/>
        <v/>
      </c>
    </row>
    <row r="28" spans="1:17" x14ac:dyDescent="0.2">
      <c r="A28" s="21"/>
      <c r="B28" s="13" t="s">
        <v>84</v>
      </c>
      <c r="C28" s="26">
        <v>4</v>
      </c>
      <c r="D28" s="26">
        <v>0</v>
      </c>
      <c r="E28" s="26">
        <v>0</v>
      </c>
      <c r="F28" s="26">
        <v>0</v>
      </c>
      <c r="G28" s="26">
        <v>4</v>
      </c>
      <c r="H28" s="26" t="str" cm="1">
        <f t="array" ref="H28">_xlfn.IFS(I28="A",5,I28="A-",4.5,I28="B+",4,I28="B",3.5,I28="A+",5,I28="","",I28="B-",3,I28="CS","",I28="S","",I28="U","",I28="CU","", I28="C+",2.5, I28= "C", 2, I28="D+", 1.5, I28="D", 1, I28="F",0, I28="IP","")</f>
        <v/>
      </c>
      <c r="I28" s="26" t="str" cm="1">
        <f t="array" ref="I28">_xlfn.IFS(J28="", "", K28=FALSE,J28, AND(K28=TRUE,L28&gt;0),"S", AND(K28=TRUE,L28=0),"U")</f>
        <v/>
      </c>
      <c r="J28" s="26"/>
      <c r="K28" s="22"/>
      <c r="L28" t="str" cm="1">
        <f t="array" ref="L28">_xlfn.IFS(J28="A",5,J28="A-",4.5,J28="B+",4,J28="B",3.5,J28="A+",5,J28="","",J28="B-",3,J28="CS","",J28="S","",J28="U","",J28="CU","", J28="C+",2.5, J28= "C", 2, J28="D+", 1.5, J28="D", 1, J28="F",0, J28="IP","")</f>
        <v/>
      </c>
      <c r="N28" t="str">
        <f t="shared" si="0"/>
        <v/>
      </c>
      <c r="O28" t="str">
        <f t="shared" si="1"/>
        <v/>
      </c>
      <c r="P28" t="str">
        <f t="shared" si="2"/>
        <v/>
      </c>
      <c r="Q28" t="str">
        <f t="shared" si="3"/>
        <v/>
      </c>
    </row>
    <row r="29" spans="1:17" x14ac:dyDescent="0.2">
      <c r="A29" s="17" t="s">
        <v>87</v>
      </c>
      <c r="B29" s="11" t="s">
        <v>88</v>
      </c>
      <c r="C29" s="24">
        <v>4</v>
      </c>
      <c r="D29" s="24">
        <v>4</v>
      </c>
      <c r="E29" s="24">
        <v>0</v>
      </c>
      <c r="F29" s="24">
        <v>0</v>
      </c>
      <c r="G29" s="24">
        <v>0</v>
      </c>
      <c r="H29" s="24" t="str" cm="1">
        <f t="array" ref="H29">_xlfn.IFS(I29="A",5,I29="A-",4.5,I29="B+",4,I29="B",3.5,I29="A+",5,I29="","",I29="B-",3,I29="CS","",I29="S","",I29="U","",I29="CU","", I29="C+",2.5, I29= "C", 2, I29="D+", 1.5, I29="D", 1, I29="F",0, I29="IP","")</f>
        <v/>
      </c>
      <c r="I29" s="24" t="str" cm="1">
        <f t="array" ref="I29">_xlfn.IFS(J29="", "", K29=FALSE,J29, AND(K29=TRUE,L29&gt;0),"S", AND(K29=TRUE,L29=0),"U")</f>
        <v/>
      </c>
      <c r="J29" s="24"/>
      <c r="K29" s="19" t="b">
        <v>0</v>
      </c>
      <c r="L29" t="str" cm="1">
        <f t="array" ref="L29">_xlfn.IFS(J29="A",5,J29="A-",4.5,J29="B+",4,J29="B",3.5,J29="A+",5,J29="","",J29="B-",3,J29="CS","",J29="S","",J29="U","",J29="CU","", J29="C+",2.5, J29= "C", 2, J29="D+", 1.5, J29="D", 1, J29="F",0, J29="IP","")</f>
        <v/>
      </c>
      <c r="N29" t="str">
        <f t="shared" si="0"/>
        <v/>
      </c>
      <c r="O29" t="str">
        <f t="shared" si="1"/>
        <v/>
      </c>
      <c r="P29" t="str">
        <f t="shared" si="2"/>
        <v/>
      </c>
      <c r="Q29" t="str">
        <f t="shared" si="3"/>
        <v/>
      </c>
    </row>
    <row r="30" spans="1:17" x14ac:dyDescent="0.2">
      <c r="A30" s="17" t="s">
        <v>83</v>
      </c>
      <c r="B30" s="11" t="s">
        <v>82</v>
      </c>
      <c r="C30" s="24">
        <v>4</v>
      </c>
      <c r="D30" s="24">
        <v>4</v>
      </c>
      <c r="E30" s="24">
        <v>0</v>
      </c>
      <c r="F30" s="24">
        <v>0</v>
      </c>
      <c r="G30" s="24">
        <v>0</v>
      </c>
      <c r="H30" s="24" t="str" cm="1">
        <f t="array" ref="H30">_xlfn.IFS(I30="A",5,I30="A-",4.5,I30="B+",4,I30="B",3.5,I30="A+",5,I30="","",I30="B-",3,I30="CS","",I30="S","",I30="U","",I30="CU","", I30="C+",2.5, I30= "C", 2, I30="D+", 1.5, I30="D", 1, I30="F",0, I30="IP","")</f>
        <v/>
      </c>
      <c r="I30" s="24" t="str" cm="1">
        <f t="array" ref="I30">_xlfn.IFS(J30="", "", K30=FALSE,J30, AND(K30=TRUE,L30&gt;0),"S", AND(K30=TRUE,L30=0),"U")</f>
        <v/>
      </c>
      <c r="J30" s="24"/>
      <c r="K30" s="19" t="b">
        <v>0</v>
      </c>
      <c r="L30" t="str" cm="1">
        <f t="array" ref="L30">_xlfn.IFS(J30="A",5,J30="A-",4.5,J30="B+",4,J30="B",3.5,J30="A+",5,J30="","",J30="B-",3,J30="CS","",J30="S","",J30="U","",J30="CU","", J30="C+",2.5, J30= "C", 2, J30="D+", 1.5, J30="D", 1, J30="F",0, J30="IP","")</f>
        <v/>
      </c>
      <c r="N30" t="str">
        <f t="shared" si="0"/>
        <v/>
      </c>
      <c r="O30" t="str">
        <f t="shared" si="1"/>
        <v/>
      </c>
      <c r="P30" t="str">
        <f t="shared" si="2"/>
        <v/>
      </c>
      <c r="Q30" t="str">
        <f t="shared" si="3"/>
        <v/>
      </c>
    </row>
    <row r="31" spans="1:17" x14ac:dyDescent="0.2">
      <c r="A31" s="17" t="s">
        <v>44</v>
      </c>
      <c r="B31" s="11" t="s">
        <v>66</v>
      </c>
      <c r="C31" s="24">
        <v>1</v>
      </c>
      <c r="D31" s="24">
        <v>1</v>
      </c>
      <c r="E31" s="24">
        <v>0</v>
      </c>
      <c r="F31" s="24">
        <v>0</v>
      </c>
      <c r="G31" s="24">
        <v>0</v>
      </c>
      <c r="H31" s="24" t="str" cm="1">
        <f t="array" ref="H31">_xlfn.IFS(I31="A",5,I31="A-",4.5,I31="B+",4,I31="B",3.5,I31="A+",5,I31="","",I31="B-",3,I31="CS","",I31="S","",I31="U","",I31="CU","", I31="C+",2.5, I31= "C", 2, I31="D+", 1.5, I31="D", 1, I31="F",0, I31="IP","")</f>
        <v/>
      </c>
      <c r="I31" s="24" t="str" cm="1">
        <f t="array" ref="I31">_xlfn.IFS(J31="", "", K31=FALSE,J31, AND(K31=TRUE,L31&gt;0),"S", AND(K31=TRUE,L31=0),"U")</f>
        <v>IP</v>
      </c>
      <c r="J31" s="24" t="s">
        <v>49</v>
      </c>
      <c r="K31" s="18"/>
      <c r="L31" t="str" cm="1">
        <f t="array" ref="L31">_xlfn.IFS(J31="A",5,J31="A-",4.5,J31="B+",4,J31="B",3.5,J31="A+",5,J31="","",J31="B-",3,J31="CS","",J31="S","",J31="U","",J31="CU","", J31="C+",2.5, J31= "C", 2, J31="D+", 1.5, J31="D", 1, J31="F",0, J31="IP","")</f>
        <v/>
      </c>
      <c r="N31" t="str">
        <f t="shared" si="0"/>
        <v/>
      </c>
      <c r="O31" t="str">
        <f t="shared" si="1"/>
        <v/>
      </c>
      <c r="P31" t="str">
        <f t="shared" si="2"/>
        <v/>
      </c>
      <c r="Q31" t="str">
        <f t="shared" si="3"/>
        <v/>
      </c>
    </row>
    <row r="32" spans="1:17" x14ac:dyDescent="0.2">
      <c r="A32" s="36" t="s">
        <v>40</v>
      </c>
      <c r="B32" s="37" t="s">
        <v>93</v>
      </c>
      <c r="C32" s="38">
        <v>4</v>
      </c>
      <c r="D32" s="38">
        <v>0</v>
      </c>
      <c r="E32" s="38">
        <v>0</v>
      </c>
      <c r="F32" s="38">
        <v>4</v>
      </c>
      <c r="G32" s="38">
        <v>0</v>
      </c>
      <c r="H32" s="38" t="str" cm="1">
        <f t="array" ref="H32">_xlfn.IFS(I32="A",5,I32="A-",4.5,I32="B+",4,I32="B",3.5,I32="A+",5,I32="","",I32="B-",3,I32="CS","",I32="S","",I32="U","",I32="CU","", I32="C+",2.5, I32= "C", 2, I32="D+", 1.5, I32="D", 1, I32="F",0, I32="IP","")</f>
        <v/>
      </c>
      <c r="I32" s="38" t="str" cm="1">
        <f t="array" ref="I32">_xlfn.IFS(J32="", "", K32=FALSE,J32, AND(K32=TRUE,L32&gt;0),"S", AND(K32=TRUE,L32=0),"U")</f>
        <v/>
      </c>
      <c r="J32" s="38"/>
      <c r="K32" s="40" t="b">
        <v>0</v>
      </c>
      <c r="L32" t="str" cm="1">
        <f t="array" ref="L32">_xlfn.IFS(J32="A",5,J32="A-",4.5,J32="B+",4,J32="B",3.5,J32="A+",5,J32="","",J32="B-",3,J32="CS","",J32="S","",J32="U","",J32="CU","", J32="C+",2.5, J32= "C", 2, J32="D+", 1.5, J32="D", 1, J32="F",0, J32="IP","")</f>
        <v/>
      </c>
      <c r="N32" t="str">
        <f t="shared" si="0"/>
        <v/>
      </c>
      <c r="O32" t="str">
        <f t="shared" si="1"/>
        <v/>
      </c>
      <c r="P32" t="str">
        <f t="shared" si="2"/>
        <v/>
      </c>
      <c r="Q32" t="str">
        <f t="shared" si="3"/>
        <v/>
      </c>
    </row>
    <row r="33" spans="1:17" ht="19" x14ac:dyDescent="0.25">
      <c r="A33" s="14" t="s">
        <v>76</v>
      </c>
      <c r="B33" s="9"/>
      <c r="C33" s="9"/>
      <c r="D33" s="9">
        <v>0</v>
      </c>
      <c r="E33" s="9">
        <v>0</v>
      </c>
      <c r="F33" s="9">
        <v>0</v>
      </c>
      <c r="G33" s="9">
        <v>0</v>
      </c>
      <c r="H33" s="9"/>
      <c r="I33" s="9"/>
      <c r="J33" s="9"/>
      <c r="K33" s="9"/>
      <c r="L33" s="30" t="str" cm="1">
        <f t="array" ref="L33">_xlfn.IFS(J33="A",5,J33="A-",4.5,J33="B+",4,J33="B",3.5,J33="A+",5,J33="","",J33="B-",3,J33="CS","",J33="S","",J33="U","",J33="CU","", J33="C+",2.5, J33= "C", 2, J33="D+", 1.5, J33="D", 1, J33="F",0, J33="IP","")</f>
        <v/>
      </c>
      <c r="M33" s="31">
        <f>SUM(C34:C37)</f>
        <v>13</v>
      </c>
      <c r="N33" t="str">
        <f t="shared" si="0"/>
        <v/>
      </c>
      <c r="O33" t="str">
        <f t="shared" si="1"/>
        <v/>
      </c>
      <c r="P33" t="str">
        <f t="shared" si="2"/>
        <v/>
      </c>
      <c r="Q33" t="str">
        <f t="shared" si="3"/>
        <v/>
      </c>
    </row>
    <row r="34" spans="1:17" x14ac:dyDescent="0.2">
      <c r="A34" s="44"/>
      <c r="B34" s="13" t="s">
        <v>84</v>
      </c>
      <c r="C34" s="46">
        <v>4</v>
      </c>
      <c r="D34" s="46">
        <v>0</v>
      </c>
      <c r="E34" s="46">
        <v>0</v>
      </c>
      <c r="F34" s="46">
        <v>0</v>
      </c>
      <c r="G34" s="46">
        <v>4</v>
      </c>
      <c r="H34" s="46" t="str" cm="1">
        <f t="array" ref="H34">_xlfn.IFS(I34="A",5,I34="A-",4.5,I34="B+",4,I34="B",3.5,I34="A+",5,I34="","",I34="B-",3,I34="CS","",I34="S","",I34="U","",I34="CU","", I34="C+",2.5, I34= "C", 2, I34="D+", 1.5, I34="D", 1, I34="F",0, I34="IP","")</f>
        <v/>
      </c>
      <c r="I34" s="46" t="str" cm="1">
        <f t="array" ref="I34">_xlfn.IFS(J34="", "", K34=FALSE,J34, AND(K34=TRUE,L34&gt;0),"S", AND(K34=TRUE,L34=0),"U")</f>
        <v/>
      </c>
      <c r="J34" s="46"/>
      <c r="K34" s="29"/>
      <c r="L34" t="str" cm="1">
        <f t="array" ref="L34">_xlfn.IFS(J34="A",5,J34="A-",4.5,J34="B+",4,J34="B",3.5,J34="A+",5,J34="","",J34="B-",3,J34="CS","",J34="S","",J34="U","",J34="CU","", J34="C+",2.5, J34= "C", 2, J34="D+", 1.5, J34="D", 1, J34="F",0, J34="IP","")</f>
        <v/>
      </c>
      <c r="N34" t="str">
        <f t="shared" si="0"/>
        <v/>
      </c>
      <c r="O34" t="str">
        <f t="shared" si="1"/>
        <v/>
      </c>
      <c r="P34" t="str">
        <f t="shared" si="2"/>
        <v/>
      </c>
      <c r="Q34" t="str">
        <f t="shared" si="3"/>
        <v/>
      </c>
    </row>
    <row r="35" spans="1:17" x14ac:dyDescent="0.2">
      <c r="A35" s="21"/>
      <c r="B35" s="13" t="s">
        <v>84</v>
      </c>
      <c r="C35" s="26">
        <v>4</v>
      </c>
      <c r="D35" s="26">
        <v>0</v>
      </c>
      <c r="E35" s="26">
        <v>0</v>
      </c>
      <c r="F35" s="26">
        <v>0</v>
      </c>
      <c r="G35" s="26">
        <v>4</v>
      </c>
      <c r="H35" s="26" t="str" cm="1">
        <f t="array" ref="H35">_xlfn.IFS(I35="A",5,I35="A-",4.5,I35="B+",4,I35="B",3.5,I35="A+",5,I35="","",I35="B-",3,I35="CS","",I35="S","",I35="U","",I35="CU","", I35="C+",2.5, I35= "C", 2, I35="D+", 1.5, I35="D", 1, I35="F",0, I35="IP","")</f>
        <v/>
      </c>
      <c r="I35" s="26" t="str" cm="1">
        <f t="array" ref="I35">_xlfn.IFS(J35="", "", K35=FALSE,J35, AND(K35=TRUE,L35&gt;0),"S", AND(K35=TRUE,L35=0),"U")</f>
        <v/>
      </c>
      <c r="J35" s="26"/>
      <c r="K35" s="22"/>
      <c r="L35" t="str" cm="1">
        <f t="array" ref="L35">_xlfn.IFS(J35="A",5,J35="A-",4.5,J35="B+",4,J35="B",3.5,J35="A+",5,J35="","",J35="B-",3,J35="CS","",J35="S","",J35="U","",J35="CU","", J35="C+",2.5, J35= "C", 2, J35="D+", 1.5, J35="D", 1, J35="F",0, J35="IP","")</f>
        <v/>
      </c>
      <c r="N35" t="str">
        <f t="shared" ref="N35:N51" si="4">IF(H35 = "", "", H35*C35)</f>
        <v/>
      </c>
      <c r="O35" t="str">
        <f t="shared" ref="O35:O51" si="5">IF(H35="","",C35)</f>
        <v/>
      </c>
      <c r="P35" t="str">
        <f t="shared" ref="P35:P51" si="6">IF(L35="", "", C35*L35)</f>
        <v/>
      </c>
      <c r="Q35" t="str">
        <f t="shared" ref="Q35:Q51" si="7">IF(L35="","",C35)</f>
        <v/>
      </c>
    </row>
    <row r="36" spans="1:17" x14ac:dyDescent="0.2">
      <c r="A36" s="17" t="s">
        <v>89</v>
      </c>
      <c r="B36" s="11" t="s">
        <v>66</v>
      </c>
      <c r="C36" s="24">
        <v>1</v>
      </c>
      <c r="D36" s="24">
        <v>1</v>
      </c>
      <c r="E36" s="24">
        <v>0</v>
      </c>
      <c r="F36" s="24">
        <v>0</v>
      </c>
      <c r="G36" s="24">
        <v>0</v>
      </c>
      <c r="H36" s="24" t="str" cm="1">
        <f t="array" ref="H36">_xlfn.IFS(I36="A",5,I36="A-",4.5,I36="B+",4,I36="B",3.5,I36="A+",5,I36="","",I36="B-",3,I36="CS","",I36="S","",I36="U","",I36="CU","", I36="C+",2.5, I36= "C", 2, I36="D+", 1.5, I36="D", 1, I36="F",0, I36="IP","")</f>
        <v/>
      </c>
      <c r="I36" s="24" t="str" cm="1">
        <f t="array" ref="I36">_xlfn.IFS(J36="", "", K36=FALSE,J36, AND(K36=TRUE,L36&gt;0),"S", AND(K36=TRUE,L36=0),"U")</f>
        <v>IP</v>
      </c>
      <c r="J36" s="24" t="s">
        <v>49</v>
      </c>
      <c r="K36" s="18"/>
      <c r="L36" t="str" cm="1">
        <f t="array" ref="L36">_xlfn.IFS(J36="A",5,J36="A-",4.5,J36="B+",4,J36="B",3.5,J36="A+",5,J36="","",J36="B-",3,J36="CS","",J36="S","",J36="U","",J36="CU","", J36="C+",2.5, J36= "C", 2, J36="D+", 1.5, J36="D", 1, J36="F",0, J36="IP","")</f>
        <v/>
      </c>
      <c r="N36" t="str">
        <f t="shared" si="4"/>
        <v/>
      </c>
      <c r="O36" t="str">
        <f t="shared" si="5"/>
        <v/>
      </c>
      <c r="P36" t="str">
        <f t="shared" si="6"/>
        <v/>
      </c>
      <c r="Q36" t="str">
        <f t="shared" si="7"/>
        <v/>
      </c>
    </row>
    <row r="37" spans="1:17" x14ac:dyDescent="0.2">
      <c r="A37" s="36"/>
      <c r="B37" s="37" t="s">
        <v>93</v>
      </c>
      <c r="C37" s="38">
        <v>4</v>
      </c>
      <c r="D37" s="38">
        <v>0</v>
      </c>
      <c r="E37" s="38">
        <v>0</v>
      </c>
      <c r="F37" s="38">
        <v>4</v>
      </c>
      <c r="G37" s="38">
        <v>0</v>
      </c>
      <c r="H37" s="38" t="str" cm="1">
        <f t="array" ref="H37">_xlfn.IFS(I37="A",5,I37="A-",4.5,I37="B+",4,I37="B",3.5,I37="A+",5,I37="","",I37="B-",3,I37="CS","",I37="S","",I37="U","",I37="CU","", I37="C+",2.5, I37= "C", 2, I37="D+", 1.5, I37="D", 1, I37="F",0, I37="IP","")</f>
        <v/>
      </c>
      <c r="I37" s="38" t="str" cm="1">
        <f t="array" ref="I37">_xlfn.IFS(J37="", "", K37=FALSE,J37, AND(K37=TRUE,L37&gt;0),"S", AND(K37=TRUE,L37=0),"U")</f>
        <v/>
      </c>
      <c r="J37" s="38"/>
      <c r="K37" s="39"/>
      <c r="L37" t="str" cm="1">
        <f t="array" ref="L37">_xlfn.IFS(J37="A",5,J37="A-",4.5,J37="B+",4,J37="B",3.5,J37="A+",5,J37="","",J37="B-",3,J37="CS","",J37="S","",J37="U","",J37="CU","", J37="C+",2.5, J37= "C", 2, J37="D+", 1.5, J37="D", 1, J37="F",0, J37="IP","")</f>
        <v/>
      </c>
      <c r="N37" t="str">
        <f t="shared" si="4"/>
        <v/>
      </c>
      <c r="O37" t="str">
        <f t="shared" si="5"/>
        <v/>
      </c>
      <c r="P37" t="str">
        <f t="shared" si="6"/>
        <v/>
      </c>
      <c r="Q37" t="str">
        <f t="shared" si="7"/>
        <v/>
      </c>
    </row>
    <row r="38" spans="1:17" ht="19" x14ac:dyDescent="0.25">
      <c r="A38" s="14" t="s">
        <v>48</v>
      </c>
      <c r="B38" s="9"/>
      <c r="C38" s="9"/>
      <c r="D38" s="9">
        <v>0</v>
      </c>
      <c r="E38" s="9">
        <v>0</v>
      </c>
      <c r="F38" s="9">
        <v>0</v>
      </c>
      <c r="G38" s="9">
        <v>0</v>
      </c>
      <c r="H38" s="9"/>
      <c r="I38" s="9"/>
      <c r="J38" s="9"/>
      <c r="K38" s="9"/>
      <c r="L38" s="30" t="str" cm="1">
        <f t="array" ref="L38">_xlfn.IFS(J38="A",5,J38="A-",4.5,J38="B+",4,J38="B",3.5,J38="A+",5,J38="","",J38="B-",3,J38="CS","",J38="S","",J38="U","",J38="CU","", J38="C+",2.5, J38= "C", 2, J38="D+", 1.5, J38="D", 1, J38="F",0, J38="IP","")</f>
        <v/>
      </c>
      <c r="M38" s="31">
        <f>SUM(C39)</f>
        <v>4</v>
      </c>
      <c r="N38" t="str">
        <f t="shared" si="4"/>
        <v/>
      </c>
      <c r="O38" t="str">
        <f t="shared" si="5"/>
        <v/>
      </c>
      <c r="P38" t="str">
        <f t="shared" si="6"/>
        <v/>
      </c>
      <c r="Q38" t="str">
        <f t="shared" si="7"/>
        <v/>
      </c>
    </row>
    <row r="39" spans="1:17" x14ac:dyDescent="0.2">
      <c r="A39" s="51"/>
      <c r="B39" s="6" t="s">
        <v>94</v>
      </c>
      <c r="C39" s="52">
        <v>4</v>
      </c>
      <c r="D39" s="52">
        <v>0</v>
      </c>
      <c r="E39" s="52">
        <v>0</v>
      </c>
      <c r="F39" s="52">
        <v>4</v>
      </c>
      <c r="G39" s="52">
        <v>0</v>
      </c>
      <c r="H39" s="52" t="str" cm="1">
        <f t="array" ref="H39">_xlfn.IFS(I39="A",5,I39="A-",4.5,I39="B+",4,I39="B",3.5,I39="A+",5,I39="","",I39="B-",3,I39="CS","",I39="S","",I39="U","",I39="CU","", I39="C+",2.5, I39= "C", 2, I39="D+", 1.5, I39="D", 1, I39="F",0, I39="IP","")</f>
        <v/>
      </c>
      <c r="I39" s="52" t="str" cm="1">
        <f t="array" ref="I39">_xlfn.IFS(J39="", "", K39=FALSE,J39, AND(K39=TRUE,L39&gt;0),"S", AND(K39=TRUE,L39=0),"U")</f>
        <v/>
      </c>
      <c r="J39" s="52"/>
      <c r="K39" s="53"/>
      <c r="L39" t="str" cm="1">
        <f t="array" ref="L39">_xlfn.IFS(J39="A",5,J39="A-",4.5,J39="B+",4,J39="B",3.5,J39="A+",5,J39="","",J39="B-",3,J39="CS","",J39="S","",J39="U","",J39="CU","", J39="C+",2.5, J39= "C", 2, J39="D+", 1.5, J39="D", 1, J39="F",0, J39="IP","")</f>
        <v/>
      </c>
      <c r="N39" t="str">
        <f t="shared" si="4"/>
        <v/>
      </c>
      <c r="O39" t="str">
        <f t="shared" si="5"/>
        <v/>
      </c>
      <c r="P39" t="str">
        <f t="shared" si="6"/>
        <v/>
      </c>
      <c r="Q39" t="str">
        <f t="shared" si="7"/>
        <v/>
      </c>
    </row>
    <row r="40" spans="1:17" ht="19" x14ac:dyDescent="0.25">
      <c r="A40" s="14" t="s">
        <v>36</v>
      </c>
      <c r="B40" s="9"/>
      <c r="C40" s="9"/>
      <c r="D40" s="9">
        <v>0</v>
      </c>
      <c r="E40" s="9">
        <v>0</v>
      </c>
      <c r="F40" s="9">
        <v>0</v>
      </c>
      <c r="G40" s="9">
        <v>0</v>
      </c>
      <c r="H40" s="9"/>
      <c r="I40" s="9"/>
      <c r="J40" s="9"/>
      <c r="K40" s="9"/>
      <c r="L40" s="30" t="str" cm="1">
        <f t="array" ref="L40">_xlfn.IFS(J40="A",5,J40="A-",4.5,J40="B+",4,J40="B",3.5,J40="A+",5,J40="","",J40="B-",3,J40="CS","",J40="S","",J40="U","",J40="CU","", J40="C+",2.5, J40= "C", 2, J40="D+", 1.5, J40="D", 1, J40="F",0, J40="IP","")</f>
        <v/>
      </c>
      <c r="M40" s="31">
        <f>SUM(C41:C42)</f>
        <v>13</v>
      </c>
      <c r="N40" t="str">
        <f t="shared" si="4"/>
        <v/>
      </c>
      <c r="O40" t="str">
        <f t="shared" si="5"/>
        <v/>
      </c>
      <c r="P40" t="str">
        <f t="shared" si="6"/>
        <v/>
      </c>
      <c r="Q40" t="str">
        <f t="shared" si="7"/>
        <v/>
      </c>
    </row>
    <row r="41" spans="1:17" x14ac:dyDescent="0.2">
      <c r="A41" s="47"/>
      <c r="B41" s="48" t="s">
        <v>91</v>
      </c>
      <c r="C41" s="49">
        <v>12</v>
      </c>
      <c r="D41" s="49">
        <v>0</v>
      </c>
      <c r="E41" s="49">
        <v>12</v>
      </c>
      <c r="F41" s="49">
        <v>0</v>
      </c>
      <c r="G41" s="49">
        <v>0</v>
      </c>
      <c r="H41" s="49" t="str" cm="1">
        <f t="array" ref="H41">_xlfn.IFS(I41="A",5,I41="A-",4.5,I41="B+",4,I41="B",3.5,I41="A+",5,I41="","",I41="B-",3,I41="CS","",I41="S","",I41="U","",I41="CU","", I41="C+",2.5, I41= "C", 2, I41="D+", 1.5, I41="D", 1, I41="F",0, I41="IP","")</f>
        <v/>
      </c>
      <c r="I41" s="49" t="str" cm="1">
        <f t="array" ref="I41">_xlfn.IFS(J41="", "", K41=FALSE,J41, AND(K41=TRUE,L41&gt;0),"S", AND(K41=TRUE,L41=0),"U")</f>
        <v/>
      </c>
      <c r="J41" s="49"/>
      <c r="K41" s="50"/>
      <c r="L41" t="str" cm="1">
        <f t="array" ref="L41">_xlfn.IFS(J41="A",5,J41="A-",4.5,J41="B+",4,J41="B",3.5,J41="A+",5,J41="","",J41="B-",3,J41="CS","",J41="S","",J41="U","",J41="CU","", J41="C+",2.5, J41= "C", 2, J41="D+", 1.5, J41="D", 1, J41="F",0, J41="IP","")</f>
        <v/>
      </c>
      <c r="N41" t="str">
        <f t="shared" si="4"/>
        <v/>
      </c>
      <c r="O41" t="str">
        <f t="shared" si="5"/>
        <v/>
      </c>
      <c r="P41" t="str">
        <f t="shared" si="6"/>
        <v/>
      </c>
      <c r="Q41" t="str">
        <f t="shared" si="7"/>
        <v/>
      </c>
    </row>
    <row r="42" spans="1:17" x14ac:dyDescent="0.2">
      <c r="A42" s="32" t="s">
        <v>90</v>
      </c>
      <c r="B42" s="33" t="s">
        <v>66</v>
      </c>
      <c r="C42" s="34">
        <v>1</v>
      </c>
      <c r="D42" s="34">
        <v>1</v>
      </c>
      <c r="E42" s="34">
        <v>0</v>
      </c>
      <c r="F42" s="34">
        <v>0</v>
      </c>
      <c r="G42" s="34">
        <v>0</v>
      </c>
      <c r="H42" s="34" t="str" cm="1">
        <f t="array" ref="H42">_xlfn.IFS(I42="A",5,I42="A-",4.5,I42="B+",4,I42="B",3.5,I42="A+",5,I42="","",I42="B-",3,I42="CS","",I42="S","",I42="U","",I42="CU","", I42="C+",2.5, I42= "C", 2, I42="D+", 1.5, I42="D", 1, I42="F",0, I42="IP","")</f>
        <v/>
      </c>
      <c r="I42" s="34" t="str" cm="1">
        <f t="array" ref="I42">_xlfn.IFS(J42="", "", K42=FALSE,J42, AND(K42=TRUE,L42&gt;0),"S", AND(K42=TRUE,L42=0),"U")</f>
        <v/>
      </c>
      <c r="J42" s="34"/>
      <c r="K42" s="35"/>
      <c r="L42" t="str" cm="1">
        <f t="array" ref="L42">_xlfn.IFS(J42="A",5,J42="A-",4.5,J42="B+",4,J42="B",3.5,J42="A+",5,J42="","",J42="B-",3,J42="CS","",J42="S","",J42="U","",J42="CU","", J42="C+",2.5, J42= "C", 2, J42="D+", 1.5, J42="D", 1, J42="F",0, J42="IP","")</f>
        <v/>
      </c>
      <c r="N42" t="str">
        <f t="shared" si="4"/>
        <v/>
      </c>
      <c r="O42" t="str">
        <f t="shared" si="5"/>
        <v/>
      </c>
      <c r="P42" t="str">
        <f t="shared" si="6"/>
        <v/>
      </c>
      <c r="Q42" t="str">
        <f t="shared" si="7"/>
        <v/>
      </c>
    </row>
    <row r="43" spans="1:17" ht="19" x14ac:dyDescent="0.25">
      <c r="A43" s="14" t="s">
        <v>37</v>
      </c>
      <c r="B43" s="9"/>
      <c r="C43" s="9"/>
      <c r="D43" s="9">
        <v>0</v>
      </c>
      <c r="E43" s="9">
        <v>0</v>
      </c>
      <c r="F43" s="9">
        <v>0</v>
      </c>
      <c r="G43" s="9">
        <v>0</v>
      </c>
      <c r="H43" s="9"/>
      <c r="I43" s="9"/>
      <c r="J43" s="9"/>
      <c r="K43" s="9"/>
      <c r="L43" s="30" t="str" cm="1">
        <f t="array" ref="L43">_xlfn.IFS(J43="A",5,J43="A-",4.5,J43="B+",4,J43="B",3.5,J43="A+",5,J43="","",J43="B-",3,J43="CS","",J43="S","",J43="U","",J43="CU","", J43="C+",2.5, J43= "C", 2, J43="D+", 1.5, J43="D", 1, J43="F",0, J43="IP","")</f>
        <v/>
      </c>
      <c r="M43" s="31">
        <f>SUM(C44:C47)</f>
        <v>20</v>
      </c>
      <c r="N43" t="str">
        <f t="shared" si="4"/>
        <v/>
      </c>
      <c r="O43" t="str">
        <f t="shared" si="5"/>
        <v/>
      </c>
      <c r="P43" t="str">
        <f t="shared" si="6"/>
        <v/>
      </c>
      <c r="Q43" t="str">
        <f t="shared" si="7"/>
        <v/>
      </c>
    </row>
    <row r="44" spans="1:17" x14ac:dyDescent="0.2">
      <c r="A44" s="47"/>
      <c r="B44" s="48" t="s">
        <v>85</v>
      </c>
      <c r="C44" s="49">
        <v>8</v>
      </c>
      <c r="D44" s="49">
        <v>0</v>
      </c>
      <c r="E44" s="49">
        <v>8</v>
      </c>
      <c r="F44" s="49">
        <v>0</v>
      </c>
      <c r="G44" s="49">
        <v>0</v>
      </c>
      <c r="H44" s="49" t="str" cm="1">
        <f t="array" ref="H44">_xlfn.IFS(I44="A",5,I44="A-",4.5,I44="B+",4,I44="B",3.5,I44="A+",5,I44="","",I44="B-",3,I44="CS","",I44="S","",I44="U","",I44="CU","", I44="C+",2.5, I44= "C", 2, I44="D+", 1.5, I44="D", 1, I44="F",0, I44="IP","")</f>
        <v/>
      </c>
      <c r="I44" s="49" t="str" cm="1">
        <f t="array" ref="I44">_xlfn.IFS(J44="", "", K44=FALSE,J44, AND(K44=TRUE,L44&gt;0),"S", AND(K44=TRUE,L44=0),"U")</f>
        <v/>
      </c>
      <c r="J44" s="49"/>
      <c r="K44" s="50"/>
      <c r="L44" t="str" cm="1">
        <f t="array" ref="L44">_xlfn.IFS(J44="A",5,J44="A-",4.5,J44="B+",4,J44="B",3.5,J44="A+",5,J44="","",J44="B-",3,J44="CS","",J44="S","",J44="U","",J44="CU","", J44="C+",2.5, J44= "C", 2, J44="D+", 1.5, J44="D", 1, J44="F",0, J44="IP","")</f>
        <v/>
      </c>
      <c r="N44" t="str">
        <f t="shared" si="4"/>
        <v/>
      </c>
      <c r="O44" t="str">
        <f t="shared" si="5"/>
        <v/>
      </c>
      <c r="P44" t="str">
        <f t="shared" si="6"/>
        <v/>
      </c>
      <c r="Q44" t="str">
        <f t="shared" si="7"/>
        <v/>
      </c>
    </row>
    <row r="45" spans="1:17" x14ac:dyDescent="0.2">
      <c r="A45" s="21"/>
      <c r="B45" s="13" t="s">
        <v>84</v>
      </c>
      <c r="C45" s="26">
        <v>4</v>
      </c>
      <c r="D45" s="26">
        <v>0</v>
      </c>
      <c r="E45" s="26">
        <v>0</v>
      </c>
      <c r="F45" s="26">
        <v>0</v>
      </c>
      <c r="G45" s="26">
        <v>4</v>
      </c>
      <c r="H45" s="26" t="str" cm="1">
        <f t="array" ref="H45">_xlfn.IFS(I45="A",5,I45="A-",4.5,I45="B+",4,I45="B",3.5,I45="A+",5,I45="","",I45="B-",3,I45="CS","",I45="S","",I45="U","",I45="CU","", I45="C+",2.5, I45= "C", 2, I45="D+", 1.5, I45="D", 1, I45="F",0, I45="IP","")</f>
        <v/>
      </c>
      <c r="I45" s="26" t="str" cm="1">
        <f t="array" ref="I45">_xlfn.IFS(J45="", "", K45=FALSE,J45, AND(K45=TRUE,L45&gt;0),"S", AND(K45=TRUE,L45=0),"U")</f>
        <v/>
      </c>
      <c r="J45" s="26"/>
      <c r="K45" s="22"/>
      <c r="L45" t="str" cm="1">
        <f t="array" ref="L45">_xlfn.IFS(J45="A",5,J45="A-",4.5,J45="B+",4,J45="B",3.5,J45="A+",5,J45="","",J45="B-",3,J45="CS","",J45="S","",J45="U","",J45="CU","", J45="C+",2.5, J45= "C", 2, J45="D+", 1.5, J45="D", 1, J45="F",0, J45="IP","")</f>
        <v/>
      </c>
      <c r="N45" t="str">
        <f t="shared" si="4"/>
        <v/>
      </c>
      <c r="O45" t="str">
        <f t="shared" si="5"/>
        <v/>
      </c>
      <c r="P45" t="str">
        <f t="shared" si="6"/>
        <v/>
      </c>
      <c r="Q45" t="str">
        <f t="shared" si="7"/>
        <v/>
      </c>
    </row>
    <row r="46" spans="1:17" x14ac:dyDescent="0.2">
      <c r="A46" s="17" t="s">
        <v>86</v>
      </c>
      <c r="B46" s="11" t="s">
        <v>82</v>
      </c>
      <c r="C46" s="24">
        <v>4</v>
      </c>
      <c r="D46" s="24">
        <v>4</v>
      </c>
      <c r="E46" s="24">
        <v>0</v>
      </c>
      <c r="F46" s="24">
        <v>0</v>
      </c>
      <c r="G46" s="24">
        <v>0</v>
      </c>
      <c r="H46" s="24" t="str" cm="1">
        <f t="array" ref="H46">_xlfn.IFS(I46="A",5,I46="A-",4.5,I46="B+",4,I46="B",3.5,I46="A+",5,I46="","",I46="B-",3,I46="CS","",I46="S","",I46="U","",I46="CU","", I46="C+",2.5, I46= "C", 2, I46="D+", 1.5, I46="D", 1, I46="F",0, I46="IP","")</f>
        <v/>
      </c>
      <c r="I46" s="24" t="str" cm="1">
        <f t="array" ref="I46">_xlfn.IFS(J46="", "", K46=FALSE,J46, AND(K46=TRUE,L46&gt;0),"S", AND(K46=TRUE,L46=0),"U")</f>
        <v/>
      </c>
      <c r="J46" s="24"/>
      <c r="K46" s="19" t="b">
        <v>0</v>
      </c>
      <c r="L46" t="str" cm="1">
        <f t="array" ref="L46">_xlfn.IFS(J46="A",5,J46="A-",4.5,J46="B+",4,J46="B",3.5,J46="A+",5,J46="","",J46="B-",3,J46="CS","",J46="S","",J46="U","",J46="CU","", J46="C+",2.5, J46= "C", 2, J46="D+", 1.5, J46="D", 1, J46="F",0, J46="IP","")</f>
        <v/>
      </c>
      <c r="N46" t="str">
        <f t="shared" si="4"/>
        <v/>
      </c>
      <c r="O46" t="str">
        <f t="shared" si="5"/>
        <v/>
      </c>
      <c r="P46" t="str">
        <f t="shared" si="6"/>
        <v/>
      </c>
      <c r="Q46" t="str">
        <f t="shared" si="7"/>
        <v/>
      </c>
    </row>
    <row r="47" spans="1:17" x14ac:dyDescent="0.2">
      <c r="A47" s="32" t="s">
        <v>92</v>
      </c>
      <c r="B47" s="33" t="s">
        <v>88</v>
      </c>
      <c r="C47" s="34">
        <v>4</v>
      </c>
      <c r="D47" s="34">
        <v>4</v>
      </c>
      <c r="E47" s="34">
        <v>0</v>
      </c>
      <c r="F47" s="34">
        <v>0</v>
      </c>
      <c r="G47" s="34">
        <v>0</v>
      </c>
      <c r="H47" s="34" t="str" cm="1">
        <f t="array" ref="H47">_xlfn.IFS(I47="A",5,I47="A-",4.5,I47="B+",4,I47="B",3.5,I47="A+",5,I47="","",I47="B-",3,I47="CS","",I47="S","",I47="U","",I47="CU","", I47="C+",2.5, I47= "C", 2, I47="D+", 1.5, I47="D", 1, I47="F",0, I47="IP","")</f>
        <v/>
      </c>
      <c r="I47" s="34" t="str" cm="1">
        <f t="array" ref="I47">_xlfn.IFS(J47="", "", K47=FALSE,J47, AND(K47=TRUE,L47&gt;0),"S", AND(K47=TRUE,L47=0),"U")</f>
        <v/>
      </c>
      <c r="J47" s="34"/>
      <c r="K47" s="28" t="b">
        <v>0</v>
      </c>
      <c r="L47" t="str" cm="1">
        <f t="array" ref="L47">_xlfn.IFS(J47="A",5,J47="A-",4.5,J47="B+",4,J47="B",3.5,J47="A+",5,J47="","",J47="B-",3,J47="CS","",J47="S","",J47="U","",J47="CU","", J47="C+",2.5, J47= "C", 2, J47="D+", 1.5, J47="D", 1, J47="F",0, J47="IP","")</f>
        <v/>
      </c>
      <c r="N47" t="str">
        <f t="shared" si="4"/>
        <v/>
      </c>
      <c r="O47" t="str">
        <f t="shared" si="5"/>
        <v/>
      </c>
      <c r="P47" t="str">
        <f t="shared" si="6"/>
        <v/>
      </c>
      <c r="Q47" t="str">
        <f t="shared" si="7"/>
        <v/>
      </c>
    </row>
    <row r="48" spans="1:17" ht="19" x14ac:dyDescent="0.25">
      <c r="A48" s="14" t="s">
        <v>38</v>
      </c>
      <c r="B48" s="9"/>
      <c r="C48" s="9"/>
      <c r="D48" s="9">
        <v>0</v>
      </c>
      <c r="E48" s="9">
        <v>0</v>
      </c>
      <c r="F48" s="9">
        <v>0</v>
      </c>
      <c r="G48" s="9">
        <v>0</v>
      </c>
      <c r="H48" s="9"/>
      <c r="I48" s="9"/>
      <c r="J48" s="9"/>
      <c r="K48" s="9"/>
      <c r="L48" s="30" t="str" cm="1">
        <f t="array" ref="L48">_xlfn.IFS(J48="A",5,J48="A-",4.5,J48="B+",4,J48="B",3.5,J48="A+",5,J48="","",J48="B-",3,J48="CS","",J48="S","",J48="U","",J48="CU","", J48="C+",2.5, J48= "C", 2, J48="D+", 1.5, J48="D", 1, J48="F",0, J48="IP","")</f>
        <v/>
      </c>
      <c r="M48" s="31">
        <f>SUM(C49:C52)</f>
        <v>16</v>
      </c>
      <c r="N48" t="str">
        <f t="shared" si="4"/>
        <v/>
      </c>
      <c r="O48" t="str">
        <f t="shared" si="5"/>
        <v/>
      </c>
      <c r="P48" t="str">
        <f t="shared" si="6"/>
        <v/>
      </c>
      <c r="Q48" t="str">
        <f t="shared" si="7"/>
        <v/>
      </c>
    </row>
    <row r="49" spans="1:17" x14ac:dyDescent="0.2">
      <c r="A49" s="44"/>
      <c r="B49" s="45" t="s">
        <v>84</v>
      </c>
      <c r="C49" s="46">
        <v>4</v>
      </c>
      <c r="D49" s="46">
        <v>0</v>
      </c>
      <c r="E49" s="46">
        <v>0</v>
      </c>
      <c r="F49" s="46">
        <v>0</v>
      </c>
      <c r="G49" s="46">
        <v>4</v>
      </c>
      <c r="H49" s="46" t="str" cm="1">
        <f t="array" ref="H49">_xlfn.IFS(I49="A",5,I49="A-",4.5,I49="B+",4,I49="B",3.5,I49="A+",5,I49="","",I49="B-",3,I49="CS","",I49="S","",I49="U","",I49="CU","", I49="C+",2.5, I49= "C", 2, I49="D+", 1.5, I49="D", 1, I49="F",0, I49="IP","")</f>
        <v/>
      </c>
      <c r="I49" s="46" t="str" cm="1">
        <f t="array" ref="I49">_xlfn.IFS(J49="", "", K49=FALSE,J49, AND(K49=TRUE,L49&gt;0),"S", AND(K49=TRUE,L49=0),"U")</f>
        <v/>
      </c>
      <c r="J49" s="46"/>
      <c r="K49" s="29"/>
      <c r="L49" t="str" cm="1">
        <f t="array" ref="L49">_xlfn.IFS(J49="A",5,J49="A-",4.5,J49="B+",4,J49="B",3.5,J49="A+",5,J49="","",J49="B-",3,J49="CS","",J49="S","",J49="U","",J49="CU","", J49="C+",2.5, J49= "C", 2, J49="D+", 1.5, J49="D", 1, J49="F",0, J49="IP","")</f>
        <v/>
      </c>
      <c r="N49" t="str">
        <f t="shared" si="4"/>
        <v/>
      </c>
      <c r="O49" t="str">
        <f t="shared" si="5"/>
        <v/>
      </c>
      <c r="P49" t="str">
        <f t="shared" si="6"/>
        <v/>
      </c>
      <c r="Q49" t="str">
        <f t="shared" si="7"/>
        <v/>
      </c>
    </row>
    <row r="50" spans="1:17" x14ac:dyDescent="0.2">
      <c r="A50" s="21"/>
      <c r="B50" s="13" t="s">
        <v>84</v>
      </c>
      <c r="C50" s="26">
        <v>4</v>
      </c>
      <c r="D50" s="26">
        <v>0</v>
      </c>
      <c r="E50" s="26">
        <v>0</v>
      </c>
      <c r="F50" s="26">
        <v>0</v>
      </c>
      <c r="G50" s="26">
        <v>4</v>
      </c>
      <c r="H50" s="26" t="str" cm="1">
        <f t="array" ref="H50">_xlfn.IFS(I50="A",5,I50="A-",4.5,I50="B+",4,I50="B",3.5,I50="A+",5,I50="","",I50="B-",3,I50="CS","",I50="S","",I50="U","",I50="CU","", I50="C+",2.5, I50= "C", 2, I50="D+", 1.5, I50="D", 1, I50="F",0, I50="IP","")</f>
        <v/>
      </c>
      <c r="I50" s="26" t="str" cm="1">
        <f t="array" ref="I50">_xlfn.IFS(J50="", "", K50=FALSE,J50, AND(K50=TRUE,L50&gt;0),"S", AND(K50=TRUE,L50=0),"U")</f>
        <v/>
      </c>
      <c r="J50" s="26"/>
      <c r="K50" s="22"/>
      <c r="L50" t="str" cm="1">
        <f t="array" ref="L50">_xlfn.IFS(J50="A",5,J50="A-",4.5,J50="B+",4,J50="B",3.5,J50="A+",5,J50="","",J50="B-",3,J50="CS","",J50="S","",J50="U","",J50="CU","", J50="C+",2.5, J50= "C", 2, J50="D+", 1.5, J50="D", 1, J50="F",0, J50="IP","")</f>
        <v/>
      </c>
      <c r="N50" t="str">
        <f t="shared" si="4"/>
        <v/>
      </c>
      <c r="O50" t="str">
        <f t="shared" si="5"/>
        <v/>
      </c>
      <c r="P50" t="str">
        <f t="shared" si="6"/>
        <v/>
      </c>
      <c r="Q50" t="str">
        <f t="shared" si="7"/>
        <v/>
      </c>
    </row>
    <row r="51" spans="1:17" x14ac:dyDescent="0.2">
      <c r="A51" s="17" t="s">
        <v>83</v>
      </c>
      <c r="B51" s="11" t="s">
        <v>82</v>
      </c>
      <c r="C51" s="24">
        <v>4</v>
      </c>
      <c r="D51" s="24">
        <v>4</v>
      </c>
      <c r="E51" s="24">
        <v>0</v>
      </c>
      <c r="F51" s="24">
        <v>0</v>
      </c>
      <c r="G51" s="24">
        <v>0</v>
      </c>
      <c r="H51" s="24" t="str" cm="1">
        <f t="array" ref="H51">_xlfn.IFS(I51="A",5,I51="A-",4.5,I51="B+",4,I51="B",3.5,I51="A+",5,I51="","",I51="B-",3,I51="CS","",I51="S","",I51="U","",I51="CU","", I51="C+",2.5, I51= "C", 2, I51="D+", 1.5, I51="D", 1, I51="F",0, I51="IP","")</f>
        <v/>
      </c>
      <c r="I51" s="24" t="str" cm="1">
        <f t="array" ref="I51">_xlfn.IFS(J51="", "", K51=FALSE,J51, AND(K51=TRUE,L51&gt;0),"S", AND(K51=TRUE,L51=0),"U")</f>
        <v/>
      </c>
      <c r="J51" s="24"/>
      <c r="K51" s="19" t="b">
        <v>0</v>
      </c>
      <c r="L51" t="str" cm="1">
        <f t="array" ref="L51">_xlfn.IFS(J51="A",5,J51="A-",4.5,J51="B+",4,J51="B",3.5,J51="A+",5,J51="","",J51="B-",3,J51="CS","",J51="S","",J51="U","",J51="CU","", J51="C+",2.5, J51= "C", 2, J51="D+", 1.5, J51="D", 1, J51="F",0, J51="IP","")</f>
        <v/>
      </c>
      <c r="N51" t="str">
        <f t="shared" si="4"/>
        <v/>
      </c>
      <c r="O51" t="str">
        <f t="shared" si="5"/>
        <v/>
      </c>
      <c r="P51" t="str">
        <f t="shared" si="6"/>
        <v/>
      </c>
      <c r="Q51" t="str">
        <f t="shared" si="7"/>
        <v/>
      </c>
    </row>
    <row r="52" spans="1:17" x14ac:dyDescent="0.2">
      <c r="A52" s="59"/>
      <c r="B52" s="12" t="s">
        <v>93</v>
      </c>
      <c r="C52" s="25">
        <v>4</v>
      </c>
      <c r="D52" s="25">
        <v>0</v>
      </c>
      <c r="E52" s="25">
        <v>0</v>
      </c>
      <c r="F52" s="25">
        <v>4</v>
      </c>
      <c r="G52" s="25">
        <v>0</v>
      </c>
      <c r="H52" s="25" t="str" cm="1">
        <f t="array" ref="H52">_xlfn.IFS(I52="A",5,I52="A-",4.5,I52="B+",4,I52="B",3.5,I52="A+",5,I52="","",I52="B-",3,I52="CS","",I52="S","",I52="U","",I52="CU","", I52="C+",2.5, I52= "C", 2, I52="D+", 1.5, I52="D", 1, I52="F",0, I52="IP","")</f>
        <v/>
      </c>
      <c r="I52" s="25" t="str" cm="1">
        <f t="array" ref="I52">_xlfn.IFS(J52="", "", K52=FALSE,J52, AND(K52=TRUE,L52&gt;0),"S", AND(K52=TRUE,L52=0),"U")</f>
        <v/>
      </c>
      <c r="J52" s="25"/>
      <c r="K52" s="58" t="b">
        <v>0</v>
      </c>
      <c r="L52" t="str" cm="1">
        <f t="array" ref="L52">_xlfn.IFS(J52="A",5,J52="A-",4.5,J52="B+",4,J52="B",3.5,J52="A+",5,J52="","",J52="B-",3,J52="CS","",J52="S","",J52="U","",J52="CU","", J52="C+",2.5, J52= "C", 2, J52="D+", 1.5, J52="D", 1, J52="F",0, J52="IP","")</f>
        <v/>
      </c>
      <c r="N52" t="str">
        <f>IF(H52 = "", "", H52*C52)</f>
        <v/>
      </c>
      <c r="O52" t="str">
        <f>IF(H52="","",C52)</f>
        <v/>
      </c>
      <c r="P52" t="str">
        <f>IF(L52="", "", C52*L52)</f>
        <v/>
      </c>
      <c r="Q52" t="str">
        <f>IF(L52="","",C52)</f>
        <v/>
      </c>
    </row>
    <row r="55" spans="1:17" x14ac:dyDescent="0.2">
      <c r="B55" s="5" t="s">
        <v>95</v>
      </c>
      <c r="C55">
        <f>SUM(E3:E54)</f>
        <v>68</v>
      </c>
    </row>
    <row r="56" spans="1:17" x14ac:dyDescent="0.2">
      <c r="B56" s="7" t="s">
        <v>84</v>
      </c>
      <c r="C56">
        <f>SUM(G3:G61)</f>
        <v>24</v>
      </c>
    </row>
    <row r="57" spans="1:17" x14ac:dyDescent="0.2">
      <c r="B57" s="4" t="s">
        <v>39</v>
      </c>
      <c r="C57">
        <f>SUM(D3:D61)</f>
        <v>48</v>
      </c>
    </row>
    <row r="58" spans="1:17" x14ac:dyDescent="0.2">
      <c r="B58" s="6" t="s">
        <v>93</v>
      </c>
      <c r="C58">
        <f>SUM(F3:F54)</f>
        <v>20</v>
      </c>
    </row>
    <row r="59" spans="1:17" x14ac:dyDescent="0.2">
      <c r="N59">
        <f>SUM(N2:N58)</f>
        <v>0</v>
      </c>
      <c r="O59">
        <f>SUM(O2:O58)</f>
        <v>0</v>
      </c>
      <c r="P59">
        <f>SUM(P2:P58)</f>
        <v>0</v>
      </c>
      <c r="Q59">
        <f>SUM(Q2:Q58)</f>
        <v>0</v>
      </c>
    </row>
    <row r="60" spans="1:17" x14ac:dyDescent="0.2">
      <c r="B60" t="s">
        <v>43</v>
      </c>
      <c r="C60">
        <f>SUM(C55:C58)</f>
        <v>160</v>
      </c>
    </row>
    <row r="61" spans="1:17" x14ac:dyDescent="0.2">
      <c r="B61" t="s">
        <v>2</v>
      </c>
      <c r="C61" t="e">
        <f>ROUND(N59/O59,2)</f>
        <v>#DIV/0!</v>
      </c>
    </row>
    <row r="62" spans="1:17" x14ac:dyDescent="0.2">
      <c r="B62" t="s">
        <v>71</v>
      </c>
      <c r="C62" t="e">
        <f>ROUND(P59/Q59,2)</f>
        <v>#DIV/0!</v>
      </c>
    </row>
  </sheetData>
  <phoneticPr fontId="1" type="noConversion"/>
  <pageMargins left="0.7" right="0.7" top="0.75" bottom="0.75" header="0.3" footer="0.3"/>
  <ignoredErrors>
    <ignoredError sqref="C55:C5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7B75D-62E8-8A49-AE73-A1EF7E721961}">
  <sheetPr codeName="Sheet2"/>
  <dimension ref="A1:B11"/>
  <sheetViews>
    <sheetView workbookViewId="0">
      <selection activeCell="B41" sqref="B41"/>
    </sheetView>
  </sheetViews>
  <sheetFormatPr baseColWidth="10" defaultRowHeight="16" x14ac:dyDescent="0.2"/>
  <sheetData>
    <row r="1" spans="1:2" x14ac:dyDescent="0.2">
      <c r="A1" s="1" t="s">
        <v>28</v>
      </c>
      <c r="B1" t="s">
        <v>29</v>
      </c>
    </row>
    <row r="2" spans="1:2" x14ac:dyDescent="0.2">
      <c r="A2" s="1" t="s">
        <v>26</v>
      </c>
    </row>
    <row r="3" spans="1:2" x14ac:dyDescent="0.2">
      <c r="A3" s="1" t="s">
        <v>27</v>
      </c>
    </row>
    <row r="5" spans="1:2" x14ac:dyDescent="0.2">
      <c r="A5" s="2" t="s">
        <v>30</v>
      </c>
      <c r="B5" t="s">
        <v>18</v>
      </c>
    </row>
    <row r="6" spans="1:2" x14ac:dyDescent="0.2">
      <c r="A6" s="2" t="s">
        <v>31</v>
      </c>
    </row>
    <row r="7" spans="1:2" x14ac:dyDescent="0.2">
      <c r="A7" s="2" t="s">
        <v>32</v>
      </c>
    </row>
    <row r="8" spans="1:2" x14ac:dyDescent="0.2">
      <c r="A8" s="3" t="s">
        <v>33</v>
      </c>
    </row>
    <row r="11" spans="1:2" x14ac:dyDescent="0.2">
      <c r="A11" s="3" t="s">
        <v>35</v>
      </c>
      <c r="B11" s="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GPA</vt:lpstr>
      <vt:lpstr>EXCHANGE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Haren Raj</dc:creator>
  <cp:lastModifiedBy>Haren Raj</cp:lastModifiedBy>
  <dcterms:created xsi:type="dcterms:W3CDTF">2025-06-01T23:46:39Z</dcterms:created>
  <dcterms:modified xsi:type="dcterms:W3CDTF">2025-12-15T07:11:55Z</dcterms:modified>
</cp:coreProperties>
</file>